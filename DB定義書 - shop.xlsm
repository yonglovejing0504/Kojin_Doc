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毎日仕事\20200312\"/>
    </mc:Choice>
  </mc:AlternateContent>
  <xr:revisionPtr revIDLastSave="0" documentId="13_ncr:1_{4577F418-7A5D-47D3-8DC4-EC19998A6FD4}" xr6:coauthVersionLast="36" xr6:coauthVersionMax="36" xr10:uidLastSave="{00000000-0000-0000-0000-000000000000}"/>
  <bookViews>
    <workbookView xWindow="0" yWindow="0" windowWidth="22260" windowHeight="12645" tabRatio="935" activeTab="4" xr2:uid="{00000000-000D-0000-FFFF-FFFF00000000}"/>
  </bookViews>
  <sheets>
    <sheet name="ER" sheetId="23" r:id="rId1"/>
    <sheet name="TOOL" sheetId="3" r:id="rId2"/>
    <sheet name="ユーザ情報" sheetId="2" r:id="rId3"/>
    <sheet name="商品大分類情報" sheetId="20" r:id="rId4"/>
    <sheet name="商品中分類情報" sheetId="24" r:id="rId5"/>
    <sheet name="商品情報" sheetId="16" r:id="rId6"/>
    <sheet name="住所情報" sheetId="10" r:id="rId7"/>
    <sheet name="优惠券情报" sheetId="11" state="hidden" r:id="rId8"/>
    <sheet name="优惠券仓库表" sheetId="12" state="hidden" r:id="rId9"/>
    <sheet name="商品収蔵情報" sheetId="13" r:id="rId10"/>
    <sheet name="カート情報" sheetId="14" r:id="rId11"/>
    <sheet name="注文情報" sheetId="15" r:id="rId12"/>
    <sheet name="注文商品一覧情報" sheetId="21" r:id="rId13"/>
    <sheet name="売家情報" sheetId="17" r:id="rId14"/>
    <sheet name="区分コード情報" sheetId="18" r:id="rId15"/>
    <sheet name="区分値一覧" sheetId="19" r:id="rId16"/>
  </sheets>
  <definedNames>
    <definedName name="_Sort" localSheetId="10" hidden="1">#REF!</definedName>
    <definedName name="_Sort" localSheetId="2" hidden="1">#REF!</definedName>
    <definedName name="_Sort" localSheetId="14" hidden="1">#REF!</definedName>
    <definedName name="_Sort" localSheetId="6" hidden="1">#REF!</definedName>
    <definedName name="_Sort" localSheetId="9" hidden="1">#REF!</definedName>
    <definedName name="_Sort" localSheetId="5" hidden="1">#REF!</definedName>
    <definedName name="_Sort" localSheetId="3" hidden="1">#REF!</definedName>
    <definedName name="_Sort" localSheetId="4" hidden="1">#REF!</definedName>
    <definedName name="_Sort" localSheetId="12" hidden="1">#REF!</definedName>
    <definedName name="_Sort" localSheetId="11" hidden="1">#REF!</definedName>
    <definedName name="_Sort" localSheetId="13" hidden="1">#REF!</definedName>
    <definedName name="_Sort" localSheetId="7" hidden="1">#REF!</definedName>
    <definedName name="_Sort" localSheetId="8" hidden="1">#REF!</definedName>
    <definedName name="_Sort" hidden="1">#REF!</definedName>
    <definedName name="_xlnm.Print_Area" localSheetId="10">カート情報!$A$1:$J$23</definedName>
    <definedName name="_xlnm.Print_Area" localSheetId="2">ユーザ情報!$A$1:$J$24</definedName>
    <definedName name="_xlnm.Print_Area" localSheetId="14">区分コード情報!$A$1:$J$23</definedName>
    <definedName name="_xlnm.Print_Area" localSheetId="6">住所情報!$A$1:$J$23</definedName>
    <definedName name="_xlnm.Print_Area" localSheetId="9">商品収蔵情報!$A$1:$J$24</definedName>
    <definedName name="_xlnm.Print_Area" localSheetId="5">商品情報!$A$1:$J$24</definedName>
    <definedName name="_xlnm.Print_Area" localSheetId="3">商品大分類情報!$A$1:$J$21</definedName>
    <definedName name="_xlnm.Print_Area" localSheetId="4">商品中分類情報!$A$1:$J$21</definedName>
    <definedName name="_xlnm.Print_Area" localSheetId="12">注文商品一覧情報!$A$1:$J$24</definedName>
    <definedName name="_xlnm.Print_Area" localSheetId="11">注文情報!$A$1:$J$23</definedName>
    <definedName name="_xlnm.Print_Area" localSheetId="13">売家情報!$A$1:$J$23</definedName>
    <definedName name="_xlnm.Print_Area" localSheetId="7">优惠券情报!$A$1:$J$40</definedName>
    <definedName name="_xlnm.Print_Area" localSheetId="8">优惠券仓库表!$A$1:$J$39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2" i="16" l="1"/>
  <c r="A13" i="24"/>
  <c r="A13" i="20"/>
  <c r="A9" i="24" l="1"/>
  <c r="B5" i="24"/>
  <c r="C5" i="24"/>
  <c r="C5" i="2"/>
  <c r="B5" i="2"/>
  <c r="B7" i="3"/>
  <c r="A21" i="24"/>
  <c r="A20" i="24"/>
  <c r="A19" i="24"/>
  <c r="A18" i="24"/>
  <c r="A17" i="24"/>
  <c r="A16" i="24"/>
  <c r="A15" i="24"/>
  <c r="A14" i="24"/>
  <c r="A12" i="24"/>
  <c r="A11" i="24"/>
  <c r="A10" i="24"/>
  <c r="B5" i="3"/>
  <c r="A10" i="20" l="1"/>
  <c r="A11" i="20"/>
  <c r="A12" i="20"/>
  <c r="A14" i="20"/>
  <c r="A15" i="20"/>
  <c r="C5" i="18"/>
  <c r="B5" i="18"/>
  <c r="C5" i="17"/>
  <c r="B5" i="17"/>
  <c r="C5" i="21"/>
  <c r="B5" i="21"/>
  <c r="C5" i="15"/>
  <c r="B5" i="15"/>
  <c r="C5" i="14"/>
  <c r="B5" i="14"/>
  <c r="C5" i="13"/>
  <c r="B5" i="13"/>
  <c r="C5" i="10"/>
  <c r="B5" i="10"/>
  <c r="C5" i="16"/>
  <c r="B5" i="16"/>
  <c r="P6" i="3"/>
  <c r="P7" i="3"/>
  <c r="P8" i="3"/>
  <c r="P9" i="3"/>
  <c r="P10" i="3"/>
  <c r="P11" i="3"/>
  <c r="P12" i="3"/>
  <c r="P13" i="3"/>
  <c r="P14" i="3"/>
  <c r="P15" i="3"/>
  <c r="P16" i="3"/>
  <c r="P17" i="3"/>
  <c r="P5" i="3"/>
  <c r="C5" i="20"/>
  <c r="B5" i="20"/>
  <c r="B9" i="3"/>
  <c r="B10" i="3"/>
  <c r="B11" i="3"/>
  <c r="B12" i="3"/>
  <c r="B13" i="3"/>
  <c r="B14" i="3"/>
  <c r="B15" i="3"/>
  <c r="B8" i="3"/>
  <c r="B6" i="3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21" i="20" l="1"/>
  <c r="A20" i="20"/>
  <c r="A19" i="20"/>
  <c r="A18" i="20"/>
  <c r="A17" i="20"/>
  <c r="A16" i="20"/>
  <c r="A9" i="20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A12" i="18"/>
  <c r="A11" i="18"/>
  <c r="A10" i="18"/>
  <c r="A9" i="18"/>
  <c r="A23" i="18" l="1"/>
  <c r="A22" i="18"/>
  <c r="A21" i="18"/>
  <c r="A20" i="18"/>
  <c r="A19" i="18"/>
  <c r="A18" i="18"/>
  <c r="A17" i="18"/>
  <c r="A16" i="18"/>
  <c r="A15" i="18"/>
  <c r="A14" i="18"/>
  <c r="A13" i="18"/>
  <c r="A12" i="16"/>
  <c r="A17" i="16"/>
  <c r="A16" i="16"/>
  <c r="A11" i="16"/>
  <c r="A10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9" i="17"/>
  <c r="A9" i="16"/>
  <c r="A10" i="15"/>
  <c r="A10" i="16"/>
  <c r="A24" i="16"/>
  <c r="A23" i="16"/>
  <c r="A21" i="16"/>
  <c r="A20" i="16"/>
  <c r="A19" i="16"/>
  <c r="A18" i="16"/>
  <c r="A14" i="16"/>
  <c r="A15" i="16"/>
  <c r="A13" i="16"/>
  <c r="A11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9" i="15"/>
  <c r="A12" i="14"/>
  <c r="A11" i="14"/>
  <c r="A23" i="14"/>
  <c r="A22" i="14"/>
  <c r="A21" i="14"/>
  <c r="A20" i="14"/>
  <c r="A19" i="14"/>
  <c r="A18" i="14"/>
  <c r="A17" i="14"/>
  <c r="A16" i="14"/>
  <c r="A15" i="14"/>
  <c r="A14" i="14"/>
  <c r="A13" i="14"/>
  <c r="A10" i="14"/>
  <c r="A9" i="14"/>
  <c r="A15" i="13" l="1"/>
  <c r="A14" i="13"/>
  <c r="A10" i="13"/>
  <c r="A13" i="13"/>
  <c r="A12" i="13"/>
  <c r="A11" i="13"/>
  <c r="A9" i="13"/>
  <c r="A24" i="13"/>
  <c r="A23" i="13"/>
  <c r="A22" i="13"/>
  <c r="A21" i="13"/>
  <c r="A20" i="13"/>
  <c r="A19" i="13"/>
  <c r="A18" i="13"/>
  <c r="A17" i="13"/>
  <c r="A16" i="13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0" i="12"/>
  <c r="A11" i="12"/>
  <c r="A14" i="12"/>
  <c r="A13" i="12"/>
  <c r="A12" i="12"/>
  <c r="A9" i="12"/>
  <c r="A10" i="11"/>
  <c r="A9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11" i="10"/>
  <c r="A10" i="10"/>
  <c r="A13" i="10"/>
  <c r="A9" i="10"/>
  <c r="A22" i="10"/>
  <c r="A21" i="10"/>
  <c r="A20" i="10"/>
  <c r="A19" i="10"/>
  <c r="A18" i="10"/>
  <c r="A17" i="10"/>
  <c r="A16" i="10"/>
  <c r="A15" i="10"/>
  <c r="A14" i="10"/>
  <c r="A12" i="10"/>
  <c r="A23" i="10"/>
  <c r="A12" i="2"/>
  <c r="A17" i="2"/>
  <c r="A16" i="2"/>
  <c r="A24" i="2" l="1"/>
  <c r="A23" i="2"/>
  <c r="A22" i="2"/>
  <c r="A21" i="2"/>
  <c r="A20" i="2"/>
  <c r="A18" i="2"/>
  <c r="A15" i="2"/>
  <c r="A14" i="2"/>
  <c r="A13" i="2"/>
  <c r="A11" i="2"/>
  <c r="A10" i="2"/>
  <c r="A9" i="2"/>
</calcChain>
</file>

<file path=xl/sharedStrings.xml><?xml version="1.0" encoding="utf-8"?>
<sst xmlns="http://schemas.openxmlformats.org/spreadsheetml/2006/main" count="1135" uniqueCount="290">
  <si>
    <t>エンティティ定義書</t>
    <phoneticPr fontId="5"/>
  </si>
  <si>
    <t>テーブル一覧へ</t>
    <rPh sb="4" eb="6">
      <t>イチラン</t>
    </rPh>
    <phoneticPr fontId="5"/>
  </si>
  <si>
    <t>システム名</t>
  </si>
  <si>
    <t>サブシステム名</t>
  </si>
  <si>
    <t>作成者</t>
  </si>
  <si>
    <t>承認者</t>
  </si>
  <si>
    <t>作成日</t>
  </si>
  <si>
    <t>スキーマ</t>
  </si>
  <si>
    <t>No.</t>
  </si>
  <si>
    <t>型</t>
    <phoneticPr fontId="5"/>
  </si>
  <si>
    <t>桁</t>
    <phoneticPr fontId="5"/>
  </si>
  <si>
    <t>小数</t>
    <phoneticPr fontId="5"/>
  </si>
  <si>
    <t>Null可否</t>
    <rPh sb="4" eb="6">
      <t>カヒ</t>
    </rPh>
    <phoneticPr fontId="5"/>
  </si>
  <si>
    <t>主キー</t>
    <phoneticPr fontId="5"/>
  </si>
  <si>
    <t>初期値</t>
    <phoneticPr fontId="5"/>
  </si>
  <si>
    <t>コメント</t>
    <phoneticPr fontId="5"/>
  </si>
  <si>
    <t>住所コード</t>
    <rPh sb="0" eb="2">
      <t>ジュウショ</t>
    </rPh>
    <phoneticPr fontId="5"/>
  </si>
  <si>
    <t>ANKJYUSYOCD</t>
    <phoneticPr fontId="5"/>
  </si>
  <si>
    <t>CHAR</t>
  </si>
  <si>
    <t>N</t>
    <phoneticPr fontId="5"/>
  </si>
  <si>
    <t>●</t>
    <phoneticPr fontId="5"/>
  </si>
  <si>
    <t>テーブル漢字名</t>
    <rPh sb="4" eb="6">
      <t>カンジ</t>
    </rPh>
    <rPh sb="6" eb="7">
      <t>メイ</t>
    </rPh>
    <phoneticPr fontId="5"/>
  </si>
  <si>
    <t>テーブル英字名</t>
    <rPh sb="4" eb="6">
      <t>エイジ</t>
    </rPh>
    <rPh sb="6" eb="7">
      <t>メイ</t>
    </rPh>
    <phoneticPr fontId="5"/>
  </si>
  <si>
    <t>カラム漢字名</t>
    <rPh sb="3" eb="5">
      <t>カンジ</t>
    </rPh>
    <phoneticPr fontId="5"/>
  </si>
  <si>
    <t>カラム英字名</t>
    <rPh sb="3" eb="5">
      <t>エイジ</t>
    </rPh>
    <phoneticPr fontId="5"/>
  </si>
  <si>
    <t>smallint</t>
    <phoneticPr fontId="4"/>
  </si>
  <si>
    <t>存储整数，小范围</t>
    <phoneticPr fontId="4"/>
  </si>
  <si>
    <t>-32768 至 +32767</t>
    <phoneticPr fontId="4"/>
  </si>
  <si>
    <t>データ類型</t>
    <rPh sb="3" eb="5">
      <t>ルイケイ</t>
    </rPh>
    <phoneticPr fontId="5"/>
  </si>
  <si>
    <t>説明</t>
    <rPh sb="0" eb="2">
      <t>セツメイ</t>
    </rPh>
    <phoneticPr fontId="5"/>
  </si>
  <si>
    <t>備考</t>
    <rPh sb="0" eb="2">
      <t>ビコウ</t>
    </rPh>
    <phoneticPr fontId="5"/>
  </si>
  <si>
    <t>NO.</t>
    <phoneticPr fontId="5"/>
  </si>
  <si>
    <t>integer</t>
    <phoneticPr fontId="4"/>
  </si>
  <si>
    <t>存储整数。使用这个类型可存储典型的整数</t>
    <phoneticPr fontId="4"/>
  </si>
  <si>
    <t>-2147483648 至 +2147483647</t>
    <phoneticPr fontId="4"/>
  </si>
  <si>
    <t>bigint</t>
    <phoneticPr fontId="4"/>
  </si>
  <si>
    <t>存储整数，大范围。</t>
    <phoneticPr fontId="4"/>
  </si>
  <si>
    <t>-9223372036854775808 至 9223372036854775807</t>
    <phoneticPr fontId="4"/>
  </si>
  <si>
    <t>decimal</t>
    <phoneticPr fontId="4"/>
  </si>
  <si>
    <t>小数点前最多为131072个数字; 小数点后最多为16383个数字。</t>
    <phoneticPr fontId="4"/>
  </si>
  <si>
    <t>numeric</t>
    <phoneticPr fontId="4"/>
  </si>
  <si>
    <t>double</t>
    <phoneticPr fontId="4"/>
  </si>
  <si>
    <t>可变精度，不精确</t>
    <phoneticPr fontId="4"/>
  </si>
  <si>
    <t>15位数字精度</t>
    <phoneticPr fontId="4"/>
  </si>
  <si>
    <t>char(size)</t>
    <phoneticPr fontId="4"/>
  </si>
  <si>
    <t>这里size是要存储的字符数。固定长度字符串，右边的空格填充到相等大小的字符。</t>
    <phoneticPr fontId="4"/>
  </si>
  <si>
    <t>varchar(size)</t>
    <phoneticPr fontId="4"/>
  </si>
  <si>
    <t>这里size是要存储的字符数。 可变长度字符串。</t>
    <phoneticPr fontId="4"/>
  </si>
  <si>
    <t>text</t>
    <phoneticPr fontId="4"/>
  </si>
  <si>
    <t>可变长度字符串。</t>
    <phoneticPr fontId="4"/>
  </si>
  <si>
    <t xml:space="preserve">timestamp [ (p) ] </t>
    <phoneticPr fontId="4"/>
  </si>
  <si>
    <t>timestamp [ (p) ]</t>
    <phoneticPr fontId="4"/>
  </si>
  <si>
    <t>date</t>
    <phoneticPr fontId="4"/>
  </si>
  <si>
    <t>money</t>
    <phoneticPr fontId="4"/>
  </si>
  <si>
    <t>货币金额</t>
    <phoneticPr fontId="4"/>
  </si>
  <si>
    <t>zhangyong</t>
    <phoneticPr fontId="4"/>
  </si>
  <si>
    <t>15098762222</t>
    <phoneticPr fontId="4"/>
  </si>
  <si>
    <t>19999@163.com</t>
    <phoneticPr fontId="4"/>
  </si>
  <si>
    <t>VARCHAR</t>
    <phoneticPr fontId="4"/>
  </si>
  <si>
    <t>CHAR</t>
    <phoneticPr fontId="4"/>
  </si>
  <si>
    <t>Y</t>
    <phoneticPr fontId="5"/>
  </si>
  <si>
    <r>
      <rPr>
        <sz val="10"/>
        <color theme="1"/>
        <rFont val="SimSun"/>
        <charset val="134"/>
      </rPr>
      <t>张</t>
    </r>
    <r>
      <rPr>
        <sz val="10"/>
        <color theme="1"/>
        <rFont val="ＭＳ Ｐゴシック"/>
        <family val="3"/>
        <charset val="128"/>
      </rPr>
      <t>勇</t>
    </r>
    <phoneticPr fontId="4"/>
  </si>
  <si>
    <t>SQL定数情報</t>
  </si>
  <si>
    <t>DATE</t>
    <phoneticPr fontId="4"/>
  </si>
  <si>
    <t>用户名，登录时需要用的</t>
    <phoneticPr fontId="5"/>
  </si>
  <si>
    <t>user_id</t>
    <phoneticPr fontId="4"/>
  </si>
  <si>
    <t>N</t>
    <phoneticPr fontId="4"/>
  </si>
  <si>
    <t>用户ID</t>
    <phoneticPr fontId="4"/>
  </si>
  <si>
    <r>
      <rPr>
        <b/>
        <sz val="11"/>
        <rFont val="Microsoft YaHei"/>
        <family val="3"/>
        <charset val="134"/>
      </rPr>
      <t>优惠券</t>
    </r>
    <r>
      <rPr>
        <b/>
        <sz val="11"/>
        <rFont val="ＭＳ Ｐゴシック"/>
        <family val="3"/>
        <charset val="128"/>
      </rPr>
      <t>情報</t>
    </r>
    <rPh sb="3" eb="5">
      <t>ジョウホウ</t>
    </rPh>
    <phoneticPr fontId="4"/>
  </si>
  <si>
    <t>coupon_info</t>
    <phoneticPr fontId="4"/>
  </si>
  <si>
    <t>preferential_amount</t>
    <phoneticPr fontId="4"/>
  </si>
  <si>
    <t>优惠金额限度</t>
    <phoneticPr fontId="4"/>
  </si>
  <si>
    <t>最低金额限度</t>
    <phoneticPr fontId="4"/>
  </si>
  <si>
    <t>minimum_consumption_amount</t>
    <phoneticPr fontId="4"/>
  </si>
  <si>
    <t>deadline</t>
    <phoneticPr fontId="4"/>
  </si>
  <si>
    <t>截止日期</t>
    <phoneticPr fontId="4"/>
  </si>
  <si>
    <t>shop_name</t>
    <phoneticPr fontId="4"/>
  </si>
  <si>
    <t>优惠券的商家名</t>
    <phoneticPr fontId="4"/>
  </si>
  <si>
    <t>优惠券的id</t>
    <phoneticPr fontId="4"/>
  </si>
  <si>
    <t>coupon_id</t>
    <phoneticPr fontId="4"/>
  </si>
  <si>
    <t>coupon_warehouse_info</t>
    <phoneticPr fontId="4"/>
  </si>
  <si>
    <r>
      <rPr>
        <b/>
        <sz val="11"/>
        <rFont val="Microsoft YaHei"/>
        <family val="3"/>
        <charset val="134"/>
      </rPr>
      <t>优惠券仓库</t>
    </r>
    <r>
      <rPr>
        <b/>
        <sz val="11"/>
        <rFont val="ＭＳ Ｐゴシック"/>
        <family val="3"/>
        <charset val="128"/>
      </rPr>
      <t>情報</t>
    </r>
    <rPh sb="5" eb="7">
      <t>ジョウホウ</t>
    </rPh>
    <phoneticPr fontId="4"/>
  </si>
  <si>
    <t>剩余的优惠券数量</t>
    <phoneticPr fontId="4"/>
  </si>
  <si>
    <t>count</t>
    <phoneticPr fontId="4"/>
  </si>
  <si>
    <t>Y</t>
    <phoneticPr fontId="4"/>
  </si>
  <si>
    <t>●</t>
    <phoneticPr fontId="4"/>
  </si>
  <si>
    <t>001</t>
    <phoneticPr fontId="4"/>
  </si>
  <si>
    <t>ID</t>
    <phoneticPr fontId="5"/>
  </si>
  <si>
    <t>ID</t>
    <phoneticPr fontId="4"/>
  </si>
  <si>
    <t>值</t>
    <phoneticPr fontId="5"/>
  </si>
  <si>
    <t>code</t>
    <phoneticPr fontId="4"/>
  </si>
  <si>
    <t>name</t>
    <phoneticPr fontId="4"/>
  </si>
  <si>
    <t>id</t>
    <phoneticPr fontId="4"/>
  </si>
  <si>
    <t>data</t>
    <phoneticPr fontId="4"/>
  </si>
  <si>
    <t>deleteflg</t>
    <phoneticPr fontId="4"/>
  </si>
  <si>
    <t>0</t>
    <phoneticPr fontId="4"/>
  </si>
  <si>
    <t>varchar</t>
    <phoneticPr fontId="4"/>
  </si>
  <si>
    <t>char</t>
    <phoneticPr fontId="4"/>
  </si>
  <si>
    <t>002</t>
  </si>
  <si>
    <t>003</t>
  </si>
  <si>
    <t>http://yanxuan.nosdn.127.net/65091eebc48899298171c2eb6696fe27.jpg</t>
  </si>
  <si>
    <t>http://yanxuan.nosdn.127.net/bff2e49136fcef1fd829f5036e07f116.jpg</t>
  </si>
  <si>
    <t>http://yanxuan.nosdn.127.net/8e50c65fda145e6dd1bf4fb7ee0fcecc.jpg</t>
  </si>
  <si>
    <t>UserId</t>
  </si>
  <si>
    <t>Password</t>
  </si>
  <si>
    <t>UserNm</t>
  </si>
  <si>
    <t>Nick</t>
  </si>
  <si>
    <t>TelNo</t>
  </si>
  <si>
    <t>Mail</t>
  </si>
  <si>
    <t>Birth</t>
  </si>
  <si>
    <t>MemberLevel</t>
  </si>
  <si>
    <t>RegistTime</t>
  </si>
  <si>
    <t>UpdateTime</t>
  </si>
  <si>
    <t>GoodsId</t>
  </si>
  <si>
    <t>SellerId</t>
  </si>
  <si>
    <t>GoodsKindId</t>
  </si>
  <si>
    <t>GoodsNm</t>
  </si>
  <si>
    <t xml:space="preserve">GoodsDepict </t>
  </si>
  <si>
    <t>GoodsParam</t>
  </si>
  <si>
    <t xml:space="preserve">SaleoutSupport </t>
  </si>
  <si>
    <t>GoodsCnt</t>
  </si>
  <si>
    <t>INTEGER</t>
    <phoneticPr fontId="4"/>
  </si>
  <si>
    <t>Inventory Cnt</t>
  </si>
  <si>
    <t>BuyinPrice</t>
  </si>
  <si>
    <t>DOUBLE</t>
    <phoneticPr fontId="4"/>
  </si>
  <si>
    <t>SaleoutPrice</t>
  </si>
  <si>
    <t>GoodsStatus</t>
  </si>
  <si>
    <t>SellerNm</t>
  </si>
  <si>
    <t>AddressId</t>
  </si>
  <si>
    <t>Address</t>
  </si>
  <si>
    <t>DefaultAddressKbn</t>
  </si>
  <si>
    <t>ConsigneeNm</t>
  </si>
  <si>
    <t>GoodsPricesum</t>
  </si>
  <si>
    <t>OrderId</t>
  </si>
  <si>
    <t>OrderStatus</t>
  </si>
  <si>
    <t>ExpressNo</t>
  </si>
  <si>
    <t>ExpressCompany</t>
  </si>
  <si>
    <t>ReceiveAddress</t>
  </si>
  <si>
    <t>OrderPayStatus</t>
  </si>
  <si>
    <t>OrderProfit</t>
  </si>
  <si>
    <t>TradeTime</t>
  </si>
  <si>
    <t>商品收藏表</t>
  </si>
  <si>
    <t>user_info</t>
    <phoneticPr fontId="4"/>
  </si>
  <si>
    <t>address_info</t>
    <phoneticPr fontId="4"/>
  </si>
  <si>
    <t>code_info</t>
  </si>
  <si>
    <t>SQL作成</t>
    <rPh sb="3" eb="5">
      <t>サクセイ</t>
    </rPh>
    <phoneticPr fontId="5"/>
  </si>
  <si>
    <t>データ挿入</t>
    <rPh sb="3" eb="5">
      <t>ソウニュウ</t>
    </rPh>
    <phoneticPr fontId="5"/>
  </si>
  <si>
    <t>GO構造体</t>
    <rPh sb="2" eb="5">
      <t>コウゾウタイ</t>
    </rPh>
    <phoneticPr fontId="5"/>
  </si>
  <si>
    <t>○</t>
  </si>
  <si>
    <r>
      <rPr>
        <sz val="10"/>
        <color theme="1"/>
        <rFont val="メイリオ"/>
        <family val="3"/>
        <charset val="128"/>
      </rPr>
      <t>goods</t>
    </r>
    <r>
      <rPr>
        <sz val="10"/>
        <color theme="1"/>
        <rFont val="SimSun"/>
        <charset val="134"/>
      </rPr>
      <t>_info</t>
    </r>
    <phoneticPr fontId="4"/>
  </si>
  <si>
    <r>
      <t>goods</t>
    </r>
    <r>
      <rPr>
        <sz val="10"/>
        <color theme="1"/>
        <rFont val="メイリオ"/>
        <family val="3"/>
        <charset val="128"/>
      </rPr>
      <t>_</t>
    </r>
    <r>
      <rPr>
        <sz val="10"/>
        <color theme="1"/>
        <rFont val="SimSun"/>
        <charset val="134"/>
      </rPr>
      <t>col_info</t>
    </r>
    <phoneticPr fontId="4"/>
  </si>
  <si>
    <r>
      <rPr>
        <sz val="10"/>
        <color theme="1"/>
        <rFont val="メイリオ"/>
        <family val="3"/>
        <charset val="128"/>
      </rPr>
      <t>order</t>
    </r>
    <r>
      <rPr>
        <sz val="10"/>
        <color theme="1"/>
        <rFont val="SimSun"/>
        <charset val="134"/>
      </rPr>
      <t>_info</t>
    </r>
    <phoneticPr fontId="4"/>
  </si>
  <si>
    <r>
      <rPr>
        <sz val="10"/>
        <color theme="1"/>
        <rFont val="メイリオ"/>
        <family val="3"/>
        <charset val="128"/>
      </rPr>
      <t>order</t>
    </r>
    <r>
      <rPr>
        <sz val="10"/>
        <color theme="1"/>
        <rFont val="SimSun"/>
        <charset val="134"/>
      </rPr>
      <t>_</t>
    </r>
    <r>
      <rPr>
        <sz val="10"/>
        <color theme="1"/>
        <rFont val="メイリオ"/>
        <family val="3"/>
        <charset val="128"/>
      </rPr>
      <t>goods_</t>
    </r>
    <r>
      <rPr>
        <sz val="10"/>
        <color theme="1"/>
        <rFont val="SimSun"/>
        <charset val="134"/>
      </rPr>
      <t>info</t>
    </r>
    <phoneticPr fontId="4"/>
  </si>
  <si>
    <r>
      <rPr>
        <sz val="10"/>
        <color theme="1"/>
        <rFont val="メイリオ"/>
        <family val="3"/>
        <charset val="128"/>
      </rPr>
      <t>seller</t>
    </r>
    <r>
      <rPr>
        <sz val="10"/>
        <color theme="1"/>
        <rFont val="SimSun"/>
        <charset val="134"/>
      </rPr>
      <t>_info</t>
    </r>
    <phoneticPr fontId="4"/>
  </si>
  <si>
    <t>PostionKbn</t>
    <phoneticPr fontId="4"/>
  </si>
  <si>
    <t>DelKbn</t>
    <phoneticPr fontId="4"/>
  </si>
  <si>
    <t>1</t>
    <phoneticPr fontId="4"/>
  </si>
  <si>
    <t>2</t>
    <phoneticPr fontId="4"/>
  </si>
  <si>
    <t>3</t>
    <phoneticPr fontId="4"/>
  </si>
  <si>
    <t>InventoryCnt</t>
    <phoneticPr fontId="4"/>
  </si>
  <si>
    <t>ユーザ情報</t>
    <rPh sb="3" eb="5">
      <t>ジョウホウ</t>
    </rPh>
    <phoneticPr fontId="4"/>
  </si>
  <si>
    <t>住所情報</t>
    <rPh sb="0" eb="2">
      <t>ジュウショ</t>
    </rPh>
    <rPh sb="2" eb="4">
      <t>ジョウホウ</t>
    </rPh>
    <phoneticPr fontId="4"/>
  </si>
  <si>
    <t>カート情報</t>
    <rPh sb="3" eb="5">
      <t>ジョウホウ</t>
    </rPh>
    <phoneticPr fontId="4"/>
  </si>
  <si>
    <t>注文情報</t>
    <rPh sb="0" eb="2">
      <t>チュウモン</t>
    </rPh>
    <rPh sb="2" eb="4">
      <t>ジョウホウ</t>
    </rPh>
    <phoneticPr fontId="4"/>
  </si>
  <si>
    <t>売家情報</t>
    <rPh sb="0" eb="1">
      <t>ウ</t>
    </rPh>
    <rPh sb="1" eb="2">
      <t>カ</t>
    </rPh>
    <rPh sb="2" eb="4">
      <t>ジョウホウ</t>
    </rPh>
    <phoneticPr fontId="4"/>
  </si>
  <si>
    <t>cart_info</t>
    <phoneticPr fontId="4"/>
  </si>
  <si>
    <t>商品分類ID</t>
  </si>
  <si>
    <t>商品名称</t>
  </si>
  <si>
    <t>商品名</t>
  </si>
  <si>
    <t>テーブル漢字名</t>
    <rPh sb="4" eb="6">
      <t>カンジ</t>
    </rPh>
    <phoneticPr fontId="5"/>
  </si>
  <si>
    <t>テーブル英字名</t>
    <rPh sb="4" eb="6">
      <t>エイジ</t>
    </rPh>
    <phoneticPr fontId="5"/>
  </si>
  <si>
    <t>名称</t>
  </si>
  <si>
    <t>接受者名</t>
  </si>
  <si>
    <t>ユーザID</t>
  </si>
  <si>
    <t>ユーザ名</t>
    <phoneticPr fontId="4"/>
  </si>
  <si>
    <t>ユーザ指定的精度，精确</t>
  </si>
  <si>
    <t>パスワード</t>
  </si>
  <si>
    <t>ニックネーム</t>
  </si>
  <si>
    <t>電話番号</t>
    <phoneticPr fontId="5"/>
  </si>
  <si>
    <t>メール</t>
  </si>
  <si>
    <t>誕生日</t>
  </si>
  <si>
    <t>会員レベル</t>
  </si>
  <si>
    <t>登録時間</t>
  </si>
  <si>
    <t>更新時間</t>
  </si>
  <si>
    <t>交易時間</t>
  </si>
  <si>
    <t>日期和時間(无时区)</t>
  </si>
  <si>
    <t>包括日期和時間，带时区</t>
  </si>
  <si>
    <t>日期(没有時間)</t>
  </si>
  <si>
    <t>商品ID</t>
  </si>
  <si>
    <t>商品参数</t>
  </si>
  <si>
    <t>商品数量</t>
  </si>
  <si>
    <t>商品情報</t>
    <rPh sb="2" eb="4">
      <t>ジョウホウ</t>
    </rPh>
    <phoneticPr fontId="4"/>
  </si>
  <si>
    <t>商品収蔵情報</t>
    <rPh sb="2" eb="4">
      <t>シュウゾウ</t>
    </rPh>
    <rPh sb="4" eb="6">
      <t>ジョウホウ</t>
    </rPh>
    <phoneticPr fontId="4"/>
  </si>
  <si>
    <t>注文商品一覧情報</t>
    <rPh sb="0" eb="2">
      <t>チュウモン</t>
    </rPh>
    <rPh sb="4" eb="6">
      <t>イチラン</t>
    </rPh>
    <rPh sb="6" eb="8">
      <t>ジョウホウ</t>
    </rPh>
    <phoneticPr fontId="4"/>
  </si>
  <si>
    <t>売家ID</t>
  </si>
  <si>
    <t>売家名</t>
  </si>
  <si>
    <t>商品詳情</t>
  </si>
  <si>
    <t>売後保障</t>
  </si>
  <si>
    <t>残量数量</t>
  </si>
  <si>
    <t>入庫価</t>
  </si>
  <si>
    <t>出庫価</t>
  </si>
  <si>
    <t>商品状態</t>
  </si>
  <si>
    <t>イメージID</t>
  </si>
  <si>
    <t>イメージURL</t>
  </si>
  <si>
    <t>住所ID</t>
  </si>
  <si>
    <t>住所</t>
  </si>
  <si>
    <t>デフォルト住所区分</t>
  </si>
  <si>
    <t>1:デフォルト，2：普通</t>
  </si>
  <si>
    <t>区分コード情報</t>
    <rPh sb="5" eb="7">
      <t>ジョウホウ</t>
    </rPh>
    <phoneticPr fontId="4"/>
  </si>
  <si>
    <t>区分ID</t>
  </si>
  <si>
    <t>注文信息表</t>
  </si>
  <si>
    <t>注文ID</t>
  </si>
  <si>
    <t>注文状態</t>
  </si>
  <si>
    <t>速達単号</t>
  </si>
  <si>
    <t>速達会社</t>
  </si>
  <si>
    <t>収貨住所</t>
  </si>
  <si>
    <t>注文支払状態</t>
  </si>
  <si>
    <t>0：未支払，1：支払完了</t>
  </si>
  <si>
    <t>注文利潤</t>
  </si>
  <si>
    <t>順序</t>
  </si>
  <si>
    <t>イメージリンク</t>
  </si>
  <si>
    <t>有効区分</t>
  </si>
  <si>
    <t>0：有効，1：无效</t>
  </si>
  <si>
    <t>適用位置区分</t>
  </si>
  <si>
    <r>
      <t>区分</t>
    </r>
    <r>
      <rPr>
        <sz val="11"/>
        <color theme="1"/>
        <rFont val="Microsoft YaHei"/>
        <family val="2"/>
        <charset val="134"/>
      </rPr>
      <t>值</t>
    </r>
    <r>
      <rPr>
        <sz val="11"/>
        <color theme="1"/>
        <rFont val="ＭＳ Ｐゴシック"/>
        <family val="3"/>
        <charset val="128"/>
      </rPr>
      <t>一</t>
    </r>
    <r>
      <rPr>
        <sz val="11"/>
        <color theme="1"/>
        <rFont val="Microsoft YaHei"/>
        <family val="2"/>
        <charset val="134"/>
      </rPr>
      <t>览</t>
    </r>
  </si>
  <si>
    <r>
      <t>区分</t>
    </r>
    <r>
      <rPr>
        <sz val="10"/>
        <rFont val="ＭＳ Ｐゴシック"/>
        <family val="2"/>
        <charset val="128"/>
      </rPr>
      <t>值</t>
    </r>
  </si>
  <si>
    <r>
      <rPr>
        <sz val="10"/>
        <rFont val="ＭＳ Ｐゴシック"/>
        <family val="2"/>
        <charset val="128"/>
      </rPr>
      <t>值</t>
    </r>
    <phoneticPr fontId="4"/>
  </si>
  <si>
    <r>
      <t>電話番号号</t>
    </r>
    <r>
      <rPr>
        <sz val="10"/>
        <color theme="1"/>
        <rFont val="SimSun"/>
        <charset val="134"/>
      </rPr>
      <t>码</t>
    </r>
  </si>
  <si>
    <r>
      <t>ユーザ名，登録</t>
    </r>
    <r>
      <rPr>
        <sz val="10"/>
        <rFont val="Microsoft YaHei"/>
        <family val="3"/>
        <charset val="134"/>
      </rPr>
      <t>时</t>
    </r>
    <r>
      <rPr>
        <sz val="10"/>
        <rFont val="ＭＳ Ｐゴシック"/>
        <family val="3"/>
        <charset val="128"/>
      </rPr>
      <t>需要用的</t>
    </r>
  </si>
  <si>
    <r>
      <rPr>
        <sz val="10"/>
        <rFont val="Microsoft YaHei"/>
        <family val="3"/>
        <charset val="134"/>
      </rPr>
      <t>购</t>
    </r>
    <r>
      <rPr>
        <sz val="10"/>
        <rFont val="ＭＳ Ｐゴシック"/>
        <family val="3"/>
        <charset val="128"/>
      </rPr>
      <t>物</t>
    </r>
    <r>
      <rPr>
        <sz val="10"/>
        <rFont val="Microsoft YaHei"/>
        <family val="3"/>
        <charset val="134"/>
      </rPr>
      <t>车</t>
    </r>
    <r>
      <rPr>
        <sz val="10"/>
        <rFont val="ＭＳ Ｐゴシック"/>
        <family val="3"/>
        <charset val="128"/>
      </rPr>
      <t>商品</t>
    </r>
    <r>
      <rPr>
        <sz val="10"/>
        <rFont val="Microsoft YaHei"/>
        <family val="3"/>
        <charset val="134"/>
      </rPr>
      <t>项</t>
    </r>
    <r>
      <rPr>
        <sz val="10"/>
        <rFont val="ＭＳ Ｐゴシック"/>
        <family val="3"/>
        <charset val="128"/>
      </rPr>
      <t>的id</t>
    </r>
  </si>
  <si>
    <r>
      <t>0：</t>
    </r>
    <r>
      <rPr>
        <sz val="10"/>
        <color theme="1"/>
        <rFont val="SimSun"/>
        <charset val="134"/>
      </rPr>
      <t>预</t>
    </r>
    <r>
      <rPr>
        <sz val="10"/>
        <color theme="1"/>
        <rFont val="ＭＳ Ｐゴシック"/>
        <family val="3"/>
        <charset val="128"/>
      </rPr>
      <t>售，1：在</t>
    </r>
    <r>
      <rPr>
        <sz val="10"/>
        <color theme="1"/>
        <rFont val="SimSun"/>
        <charset val="134"/>
      </rPr>
      <t>库</t>
    </r>
    <r>
      <rPr>
        <sz val="10"/>
        <color theme="1"/>
        <rFont val="ＭＳ Ｐゴシック"/>
        <family val="3"/>
        <charset val="128"/>
      </rPr>
      <t>，2：出</t>
    </r>
    <r>
      <rPr>
        <sz val="10"/>
        <color theme="1"/>
        <rFont val="SimSun"/>
        <charset val="134"/>
      </rPr>
      <t>库</t>
    </r>
    <r>
      <rPr>
        <sz val="10"/>
        <color theme="1"/>
        <rFont val="ＭＳ Ｐゴシック"/>
        <family val="3"/>
        <charset val="128"/>
      </rPr>
      <t>，3：出庫，4：下架</t>
    </r>
  </si>
  <si>
    <t>電話番号</t>
    <phoneticPr fontId="4"/>
  </si>
  <si>
    <t>商品総価</t>
    <rPh sb="2" eb="3">
      <t>ソウ</t>
    </rPh>
    <rPh sb="3" eb="4">
      <t>アタイ</t>
    </rPh>
    <phoneticPr fontId="4"/>
  </si>
  <si>
    <r>
      <t>商品</t>
    </r>
    <r>
      <rPr>
        <sz val="10"/>
        <color theme="1"/>
        <rFont val="SimSun"/>
        <charset val="134"/>
      </rPr>
      <t>総価</t>
    </r>
    <phoneticPr fontId="4"/>
  </si>
  <si>
    <r>
      <t>ユーザ情</t>
    </r>
    <r>
      <rPr>
        <sz val="10"/>
        <rFont val="SimSun"/>
        <charset val="134"/>
      </rPr>
      <t>报</t>
    </r>
  </si>
  <si>
    <r>
      <t>住所情</t>
    </r>
    <r>
      <rPr>
        <sz val="10"/>
        <color theme="1"/>
        <rFont val="SimSun"/>
        <charset val="134"/>
      </rPr>
      <t>报</t>
    </r>
  </si>
  <si>
    <r>
      <t>商品情</t>
    </r>
    <r>
      <rPr>
        <sz val="10"/>
        <color theme="1"/>
        <rFont val="SimSun"/>
        <charset val="134"/>
      </rPr>
      <t>报</t>
    </r>
  </si>
  <si>
    <r>
      <t>商家情</t>
    </r>
    <r>
      <rPr>
        <sz val="10"/>
        <color theme="1"/>
        <rFont val="SimSun"/>
        <charset val="134"/>
      </rPr>
      <t>报</t>
    </r>
  </si>
  <si>
    <r>
      <rPr>
        <sz val="10"/>
        <color theme="1"/>
        <rFont val="SimSun"/>
        <charset val="134"/>
      </rPr>
      <t>购</t>
    </r>
    <r>
      <rPr>
        <sz val="10"/>
        <color theme="1"/>
        <rFont val="ＭＳ Ｐゴシック"/>
        <family val="3"/>
        <charset val="128"/>
      </rPr>
      <t>物</t>
    </r>
    <r>
      <rPr>
        <sz val="10"/>
        <color theme="1"/>
        <rFont val="SimSun"/>
        <charset val="134"/>
      </rPr>
      <t>车</t>
    </r>
    <r>
      <rPr>
        <sz val="10"/>
        <color theme="1"/>
        <rFont val="ＭＳ Ｐゴシック"/>
        <family val="3"/>
        <charset val="128"/>
      </rPr>
      <t>信息表</t>
    </r>
  </si>
  <si>
    <r>
      <t>注文商品一</t>
    </r>
    <r>
      <rPr>
        <sz val="10"/>
        <color theme="1"/>
        <rFont val="SimSun"/>
        <charset val="134"/>
      </rPr>
      <t>览</t>
    </r>
    <r>
      <rPr>
        <sz val="10"/>
        <color theme="1"/>
        <rFont val="ＭＳ Ｐゴシック"/>
        <family val="3"/>
        <charset val="128"/>
      </rPr>
      <t>表</t>
    </r>
  </si>
  <si>
    <r>
      <t>1：首</t>
    </r>
    <r>
      <rPr>
        <sz val="10"/>
        <rFont val="Microsoft YaHei"/>
        <family val="3"/>
        <charset val="134"/>
      </rPr>
      <t>页</t>
    </r>
    <r>
      <rPr>
        <sz val="10"/>
        <rFont val="ＭＳ Ｐゴシック"/>
        <family val="3"/>
        <charset val="128"/>
      </rPr>
      <t>SWIPE，2:首</t>
    </r>
    <r>
      <rPr>
        <sz val="10"/>
        <rFont val="Microsoft YaHei"/>
        <family val="3"/>
        <charset val="134"/>
      </rPr>
      <t>页</t>
    </r>
    <r>
      <rPr>
        <sz val="10"/>
        <rFont val="ＭＳ Ｐゴシック"/>
        <family val="3"/>
        <charset val="128"/>
      </rPr>
      <t>精</t>
    </r>
    <r>
      <rPr>
        <sz val="10"/>
        <rFont val="Microsoft YaHei"/>
        <family val="3"/>
        <charset val="134"/>
      </rPr>
      <t>选</t>
    </r>
    <r>
      <rPr>
        <sz val="10"/>
        <rFont val="ＭＳ Ｐゴシック"/>
        <family val="3"/>
        <charset val="128"/>
      </rPr>
      <t>，3：分類（Tab）</t>
    </r>
    <phoneticPr fontId="4"/>
  </si>
  <si>
    <t>商品大分類情報</t>
    <rPh sb="2" eb="3">
      <t>ダイ</t>
    </rPh>
    <rPh sb="3" eb="5">
      <t>ブンルイ</t>
    </rPh>
    <rPh sb="5" eb="7">
      <t>ジョウホウ</t>
    </rPh>
    <phoneticPr fontId="4"/>
  </si>
  <si>
    <t>商品中分類情報</t>
    <rPh sb="2" eb="3">
      <t>チュウ</t>
    </rPh>
    <rPh sb="3" eb="5">
      <t>ブンルイ</t>
    </rPh>
    <rPh sb="5" eb="7">
      <t>ジョウホウ</t>
    </rPh>
    <phoneticPr fontId="4"/>
  </si>
  <si>
    <r>
      <t>category_</t>
    </r>
    <r>
      <rPr>
        <sz val="10"/>
        <color theme="1"/>
        <rFont val="メイリオ"/>
        <family val="3"/>
        <charset val="128"/>
      </rPr>
      <t>b_</t>
    </r>
    <r>
      <rPr>
        <sz val="10"/>
        <color theme="1"/>
        <rFont val="SimSun"/>
        <charset val="134"/>
      </rPr>
      <t>info</t>
    </r>
    <phoneticPr fontId="4"/>
  </si>
  <si>
    <t>商品大分類ID</t>
    <rPh sb="2" eb="3">
      <t>ダイ</t>
    </rPh>
    <rPh sb="3" eb="5">
      <t>ブンルイ</t>
    </rPh>
    <phoneticPr fontId="4"/>
  </si>
  <si>
    <t>商品大分類名</t>
    <rPh sb="2" eb="3">
      <t>ダイ</t>
    </rPh>
    <phoneticPr fontId="4"/>
  </si>
  <si>
    <t>商品中分類ID</t>
    <rPh sb="2" eb="3">
      <t>チュウ</t>
    </rPh>
    <rPh sb="3" eb="5">
      <t>ブンルイ</t>
    </rPh>
    <phoneticPr fontId="4"/>
  </si>
  <si>
    <t>商品中分類名</t>
    <rPh sb="2" eb="3">
      <t>チュウ</t>
    </rPh>
    <phoneticPr fontId="4"/>
  </si>
  <si>
    <r>
      <t>category_</t>
    </r>
    <r>
      <rPr>
        <sz val="10"/>
        <color theme="1"/>
        <rFont val="SimSun"/>
        <family val="3"/>
      </rPr>
      <t>m_</t>
    </r>
    <r>
      <rPr>
        <sz val="10"/>
        <color theme="1"/>
        <rFont val="SimSun"/>
        <charset val="134"/>
      </rPr>
      <t>info</t>
    </r>
    <phoneticPr fontId="4"/>
  </si>
  <si>
    <t>Orders</t>
    <phoneticPr fontId="4"/>
  </si>
  <si>
    <t>integer</t>
    <phoneticPr fontId="4"/>
  </si>
  <si>
    <t>GoodsBigKindId</t>
    <phoneticPr fontId="4"/>
  </si>
  <si>
    <t>GoodsBigKindNm</t>
    <phoneticPr fontId="4"/>
  </si>
  <si>
    <t>GoodsMidKindId</t>
    <phoneticPr fontId="4"/>
  </si>
  <si>
    <t>GoodsMidKindNm</t>
  </si>
  <si>
    <t>top1</t>
    <phoneticPr fontId="4"/>
  </si>
  <si>
    <t>top2</t>
  </si>
  <si>
    <t>top3</t>
  </si>
  <si>
    <t>004</t>
  </si>
  <si>
    <t>005</t>
  </si>
  <si>
    <t>006</t>
  </si>
  <si>
    <t>jingxuan1</t>
    <phoneticPr fontId="4"/>
  </si>
  <si>
    <t>jingxuan2</t>
  </si>
  <si>
    <t>jingxuan3</t>
  </si>
  <si>
    <t>2</t>
  </si>
  <si>
    <t>2</t>
    <phoneticPr fontId="4"/>
  </si>
  <si>
    <t>1</t>
    <phoneticPr fontId="4"/>
  </si>
  <si>
    <t>3</t>
  </si>
  <si>
    <t>007</t>
  </si>
  <si>
    <t>008</t>
  </si>
  <si>
    <t>009</t>
  </si>
  <si>
    <t>da1</t>
    <phoneticPr fontId="4"/>
  </si>
  <si>
    <t>da2</t>
  </si>
  <si>
    <t>da3</t>
  </si>
  <si>
    <t>3</t>
    <phoneticPr fontId="4"/>
  </si>
  <si>
    <t/>
  </si>
  <si>
    <t>0001</t>
    <phoneticPr fontId="4"/>
  </si>
  <si>
    <t>0002</t>
  </si>
  <si>
    <t>0003</t>
  </si>
  <si>
    <t>zhong11</t>
    <phoneticPr fontId="4"/>
  </si>
  <si>
    <t>zhong12</t>
    <phoneticPr fontId="4"/>
  </si>
  <si>
    <t>zhong13</t>
    <phoneticPr fontId="4"/>
  </si>
  <si>
    <t>zhong21</t>
    <phoneticPr fontId="4"/>
  </si>
  <si>
    <t>zhong22</t>
    <phoneticPr fontId="4"/>
  </si>
  <si>
    <t>zhong31</t>
    <phoneticPr fontId="4"/>
  </si>
  <si>
    <t>特恵価</t>
    <rPh sb="0" eb="2">
      <t>トッケイ</t>
    </rPh>
    <rPh sb="2" eb="3">
      <t>カ</t>
    </rPh>
    <phoneticPr fontId="4"/>
  </si>
  <si>
    <t>CouponPrice</t>
    <phoneticPr fontId="4"/>
  </si>
  <si>
    <t>ImgId</t>
  </si>
  <si>
    <t>ImgUrl</t>
  </si>
  <si>
    <t>ImgLink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</si>
</sst>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Yu Gothic"/>
      <family val="2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6"/>
      <name val="游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SimSun"/>
      <charset val="134"/>
    </font>
    <font>
      <u/>
      <sz val="10"/>
      <color theme="10"/>
      <name val="ＭＳ Ｐゴシック"/>
      <family val="3"/>
      <charset val="128"/>
    </font>
    <font>
      <sz val="10"/>
      <name val="Microsoft YaHei"/>
      <family val="3"/>
      <charset val="134"/>
    </font>
    <font>
      <sz val="10"/>
      <color theme="1"/>
      <name val="Microsoft YaHei"/>
      <family val="3"/>
      <charset val="134"/>
    </font>
    <font>
      <b/>
      <sz val="11"/>
      <name val="Microsoft YaHei"/>
      <family val="3"/>
      <charset val="134"/>
    </font>
    <font>
      <b/>
      <sz val="11"/>
      <name val="ＭＳ Ｐゴシック"/>
      <family val="3"/>
      <charset val="134"/>
    </font>
    <font>
      <sz val="10"/>
      <name val="ＭＳ Ｐゴシック"/>
      <family val="2"/>
      <charset val="128"/>
    </font>
    <font>
      <sz val="11"/>
      <color theme="1"/>
      <name val="Microsoft YaHei"/>
      <family val="2"/>
      <charset val="134"/>
    </font>
    <font>
      <sz val="10"/>
      <name val="SimSun"/>
      <charset val="134"/>
    </font>
    <font>
      <sz val="10"/>
      <color theme="1"/>
      <name val="SimSun"/>
      <family val="3"/>
      <charset val="128"/>
    </font>
    <font>
      <sz val="10"/>
      <color theme="1"/>
      <name val="メイリオ"/>
      <family val="3"/>
      <charset val="128"/>
    </font>
    <font>
      <sz val="10"/>
      <color theme="1"/>
      <name val="SimSun"/>
      <family val="3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101">
    <xf numFmtId="0" fontId="0" fillId="0" borderId="0" xfId="0"/>
    <xf numFmtId="0" fontId="3" fillId="0" borderId="0" xfId="2" applyFont="1">
      <alignment vertical="center"/>
    </xf>
    <xf numFmtId="0" fontId="3" fillId="0" borderId="0" xfId="2" applyFont="1" applyAlignment="1">
      <alignment horizontal="center" vertical="center"/>
    </xf>
    <xf numFmtId="0" fontId="3" fillId="2" borderId="4" xfId="2" applyFont="1" applyFill="1" applyBorder="1" applyAlignment="1">
      <alignment horizontal="center" vertical="center"/>
    </xf>
    <xf numFmtId="0" fontId="9" fillId="2" borderId="14" xfId="4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 wrapText="1"/>
    </xf>
    <xf numFmtId="0" fontId="10" fillId="2" borderId="14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Continuous" vertical="center"/>
    </xf>
    <xf numFmtId="0" fontId="3" fillId="0" borderId="0" xfId="2" applyFont="1" applyAlignment="1">
      <alignment vertical="center"/>
    </xf>
    <xf numFmtId="0" fontId="7" fillId="0" borderId="14" xfId="2" applyFont="1" applyFill="1" applyBorder="1" applyAlignment="1">
      <alignment vertical="center" shrinkToFit="1"/>
    </xf>
    <xf numFmtId="0" fontId="7" fillId="0" borderId="14" xfId="2" applyFont="1" applyFill="1" applyBorder="1" applyAlignment="1">
      <alignment horizontal="center" vertical="center"/>
    </xf>
    <xf numFmtId="0" fontId="7" fillId="0" borderId="0" xfId="2" applyFont="1" applyFill="1">
      <alignment vertical="center"/>
    </xf>
    <xf numFmtId="0" fontId="11" fillId="0" borderId="0" xfId="2" applyFont="1">
      <alignment vertical="center"/>
    </xf>
    <xf numFmtId="0" fontId="11" fillId="0" borderId="14" xfId="2" applyFont="1" applyBorder="1" applyAlignment="1">
      <alignment horizontal="center" vertical="center"/>
    </xf>
    <xf numFmtId="0" fontId="12" fillId="0" borderId="14" xfId="2" applyFont="1" applyBorder="1" applyAlignment="1">
      <alignment horizontal="center" vertical="center"/>
    </xf>
    <xf numFmtId="0" fontId="12" fillId="0" borderId="14" xfId="0" quotePrefix="1" applyFont="1" applyBorder="1" applyAlignment="1">
      <alignment vertical="center" wrapText="1"/>
    </xf>
    <xf numFmtId="0" fontId="12" fillId="0" borderId="14" xfId="0" applyFont="1" applyBorder="1" applyAlignment="1">
      <alignment vertical="center" wrapText="1"/>
    </xf>
    <xf numFmtId="0" fontId="12" fillId="7" borderId="14" xfId="0" applyFont="1" applyFill="1" applyBorder="1" applyAlignment="1">
      <alignment vertical="center" wrapText="1"/>
    </xf>
    <xf numFmtId="0" fontId="6" fillId="0" borderId="0" xfId="3" applyFont="1" applyAlignment="1" applyProtection="1">
      <alignment horizontal="right" vertical="center"/>
    </xf>
    <xf numFmtId="0" fontId="8" fillId="2" borderId="1" xfId="2" applyFont="1" applyFill="1" applyBorder="1" applyAlignment="1">
      <alignment horizontal="centerContinuous" vertical="center"/>
    </xf>
    <xf numFmtId="0" fontId="8" fillId="2" borderId="2" xfId="2" applyFont="1" applyFill="1" applyBorder="1" applyAlignment="1">
      <alignment horizontal="centerContinuous" vertical="center"/>
    </xf>
    <xf numFmtId="0" fontId="8" fillId="2" borderId="3" xfId="2" applyFont="1" applyFill="1" applyBorder="1" applyAlignment="1">
      <alignment horizontal="centerContinuous" vertical="center"/>
    </xf>
    <xf numFmtId="0" fontId="9" fillId="3" borderId="0" xfId="2" applyFont="1" applyFill="1" applyBorder="1" applyAlignment="1">
      <alignment horizontal="center" vertical="center"/>
    </xf>
    <xf numFmtId="0" fontId="9" fillId="4" borderId="4" xfId="2" applyFont="1" applyFill="1" applyBorder="1" applyAlignment="1">
      <alignment horizontal="center" vertical="center"/>
    </xf>
    <xf numFmtId="0" fontId="8" fillId="3" borderId="5" xfId="2" applyFont="1" applyFill="1" applyBorder="1" applyAlignment="1">
      <alignment horizontal="centerContinuous" vertical="center"/>
    </xf>
    <xf numFmtId="0" fontId="8" fillId="3" borderId="0" xfId="2" applyFont="1" applyFill="1" applyBorder="1" applyAlignment="1">
      <alignment horizontal="centerContinuous" vertical="center"/>
    </xf>
    <xf numFmtId="0" fontId="8" fillId="3" borderId="6" xfId="2" applyFont="1" applyFill="1" applyBorder="1" applyAlignment="1">
      <alignment horizontal="left" vertical="center"/>
    </xf>
    <xf numFmtId="0" fontId="8" fillId="3" borderId="7" xfId="2" applyFont="1" applyFill="1" applyBorder="1" applyAlignment="1">
      <alignment horizontal="left" vertical="center"/>
    </xf>
    <xf numFmtId="0" fontId="8" fillId="3" borderId="8" xfId="2" applyFont="1" applyFill="1" applyBorder="1" applyAlignment="1">
      <alignment horizontal="left" vertical="center"/>
    </xf>
    <xf numFmtId="0" fontId="8" fillId="3" borderId="0" xfId="2" applyFont="1" applyFill="1" applyBorder="1" applyAlignment="1">
      <alignment horizontal="center" vertical="center"/>
    </xf>
    <xf numFmtId="0" fontId="8" fillId="3" borderId="9" xfId="2" applyFont="1" applyFill="1" applyBorder="1" applyAlignment="1">
      <alignment horizontal="centerContinuous" vertical="center"/>
    </xf>
    <xf numFmtId="0" fontId="8" fillId="5" borderId="1" xfId="2" applyFont="1" applyFill="1" applyBorder="1" applyAlignment="1">
      <alignment horizontal="centerContinuous" vertical="center"/>
    </xf>
    <xf numFmtId="0" fontId="8" fillId="5" borderId="3" xfId="2" applyFont="1" applyFill="1" applyBorder="1" applyAlignment="1">
      <alignment horizontal="centerContinuous" vertical="center"/>
    </xf>
    <xf numFmtId="0" fontId="8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Continuous" vertical="center"/>
    </xf>
    <xf numFmtId="0" fontId="9" fillId="3" borderId="12" xfId="2" applyFont="1" applyFill="1" applyBorder="1" applyAlignment="1">
      <alignment horizontal="centerContinuous" vertical="center"/>
    </xf>
    <xf numFmtId="0" fontId="9" fillId="3" borderId="8" xfId="2" applyFont="1" applyFill="1" applyBorder="1" applyAlignment="1">
      <alignment horizontal="centerContinuous" vertical="center"/>
    </xf>
    <xf numFmtId="0" fontId="8" fillId="3" borderId="13" xfId="2" applyFont="1" applyFill="1" applyBorder="1" applyAlignment="1">
      <alignment horizontal="centerContinuous" vertical="center"/>
    </xf>
    <xf numFmtId="0" fontId="8" fillId="0" borderId="0" xfId="2" applyFont="1" applyFill="1">
      <alignment vertical="center"/>
    </xf>
    <xf numFmtId="0" fontId="3" fillId="0" borderId="14" xfId="2" applyFont="1" applyBorder="1" applyAlignment="1">
      <alignment horizontal="center" vertical="center"/>
    </xf>
    <xf numFmtId="0" fontId="8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shrinkToFit="1"/>
    </xf>
    <xf numFmtId="0" fontId="8" fillId="0" borderId="14" xfId="2" applyFont="1" applyFill="1" applyBorder="1" applyAlignment="1">
      <alignment horizontal="center" vertical="center"/>
    </xf>
    <xf numFmtId="0" fontId="10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wrapText="1"/>
    </xf>
    <xf numFmtId="0" fontId="3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/>
    </xf>
    <xf numFmtId="0" fontId="8" fillId="6" borderId="14" xfId="2" applyFont="1" applyFill="1" applyBorder="1" applyAlignment="1">
      <alignment vertical="center" shrinkToFit="1"/>
    </xf>
    <xf numFmtId="0" fontId="8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 wrapText="1"/>
    </xf>
    <xf numFmtId="0" fontId="8" fillId="0" borderId="0" xfId="2" applyFont="1" applyFill="1" applyAlignment="1">
      <alignment vertical="center"/>
    </xf>
    <xf numFmtId="0" fontId="11" fillId="0" borderId="14" xfId="0" applyFont="1" applyFill="1" applyBorder="1" applyAlignment="1">
      <alignment horizontal="left" vertical="center"/>
    </xf>
    <xf numFmtId="0" fontId="7" fillId="0" borderId="14" xfId="2" applyFont="1" applyFill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0" borderId="14" xfId="0" quotePrefix="1" applyFont="1" applyBorder="1" applyAlignment="1">
      <alignment horizontal="right" vertical="center"/>
    </xf>
    <xf numFmtId="0" fontId="13" fillId="0" borderId="14" xfId="1" applyFont="1" applyBorder="1" applyAlignment="1">
      <alignment horizontal="right" vertical="center"/>
    </xf>
    <xf numFmtId="0" fontId="11" fillId="0" borderId="14" xfId="2" applyFont="1" applyFill="1" applyBorder="1" applyAlignment="1">
      <alignment vertical="center"/>
    </xf>
    <xf numFmtId="0" fontId="11" fillId="0" borderId="14" xfId="2" applyFont="1" applyFill="1" applyBorder="1" applyAlignment="1">
      <alignment horizontal="center" vertical="center"/>
    </xf>
    <xf numFmtId="0" fontId="11" fillId="0" borderId="14" xfId="2" applyFont="1" applyFill="1" applyBorder="1" applyAlignment="1">
      <alignment vertical="center" wrapText="1"/>
    </xf>
    <xf numFmtId="14" fontId="11" fillId="0" borderId="14" xfId="0" applyNumberFormat="1" applyFont="1" applyBorder="1" applyAlignment="1">
      <alignment horizontal="right" vertical="center"/>
    </xf>
    <xf numFmtId="0" fontId="7" fillId="0" borderId="0" xfId="2" applyFont="1" applyFill="1" applyAlignment="1">
      <alignment vertical="center"/>
    </xf>
    <xf numFmtId="0" fontId="14" fillId="0" borderId="14" xfId="2" applyFont="1" applyFill="1" applyBorder="1" applyAlignment="1">
      <alignment vertical="center"/>
    </xf>
    <xf numFmtId="0" fontId="15" fillId="0" borderId="14" xfId="0" applyFont="1" applyFill="1" applyBorder="1" applyAlignment="1">
      <alignment horizontal="left" vertical="center"/>
    </xf>
    <xf numFmtId="0" fontId="17" fillId="3" borderId="10" xfId="2" applyFont="1" applyFill="1" applyBorder="1" applyAlignment="1">
      <alignment horizontal="center" vertical="center"/>
    </xf>
    <xf numFmtId="0" fontId="11" fillId="0" borderId="0" xfId="2" applyFont="1" applyFill="1">
      <alignment vertical="center"/>
    </xf>
    <xf numFmtId="49" fontId="11" fillId="0" borderId="0" xfId="2" applyNumberFormat="1" applyFont="1">
      <alignment vertical="center"/>
    </xf>
    <xf numFmtId="0" fontId="12" fillId="0" borderId="0" xfId="0" applyFont="1" applyAlignment="1">
      <alignment wrapText="1"/>
    </xf>
    <xf numFmtId="0" fontId="12" fillId="0" borderId="0" xfId="0" applyFont="1"/>
    <xf numFmtId="0" fontId="12" fillId="2" borderId="15" xfId="2" applyFont="1" applyFill="1" applyBorder="1" applyAlignment="1">
      <alignment horizontal="center" vertical="center"/>
    </xf>
    <xf numFmtId="0" fontId="12" fillId="2" borderId="14" xfId="2" applyFont="1" applyFill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/>
    </xf>
    <xf numFmtId="0" fontId="1" fillId="0" borderId="14" xfId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" fillId="0" borderId="0" xfId="1" applyAlignment="1">
      <alignment vertical="center"/>
    </xf>
    <xf numFmtId="0" fontId="22" fillId="0" borderId="14" xfId="0" applyFont="1" applyBorder="1" applyAlignment="1">
      <alignment horizontal="center"/>
    </xf>
    <xf numFmtId="0" fontId="21" fillId="0" borderId="14" xfId="0" applyFont="1" applyBorder="1" applyAlignment="1">
      <alignment vertical="center"/>
    </xf>
    <xf numFmtId="0" fontId="7" fillId="0" borderId="14" xfId="0" applyFont="1" applyFill="1" applyBorder="1"/>
    <xf numFmtId="0" fontId="3" fillId="6" borderId="14" xfId="2" applyFont="1" applyFill="1" applyBorder="1" applyAlignment="1">
      <alignment horizontal="center" vertical="center" wrapText="1"/>
    </xf>
    <xf numFmtId="0" fontId="8" fillId="3" borderId="10" xfId="2" applyFont="1" applyFill="1" applyBorder="1" applyAlignment="1">
      <alignment horizontal="center" vertical="center"/>
    </xf>
    <xf numFmtId="0" fontId="7" fillId="0" borderId="14" xfId="2" applyFont="1" applyFill="1" applyBorder="1" applyAlignment="1">
      <alignment vertical="center" wrapText="1"/>
    </xf>
    <xf numFmtId="0" fontId="3" fillId="0" borderId="0" xfId="0" applyFont="1"/>
    <xf numFmtId="0" fontId="3" fillId="0" borderId="14" xfId="0" applyNumberFormat="1" applyFont="1" applyBorder="1" applyAlignment="1">
      <alignment horizontal="center"/>
    </xf>
    <xf numFmtId="49" fontId="3" fillId="0" borderId="14" xfId="0" applyNumberFormat="1" applyFont="1" applyBorder="1"/>
    <xf numFmtId="0" fontId="3" fillId="0" borderId="14" xfId="0" applyFont="1" applyBorder="1"/>
    <xf numFmtId="0" fontId="11" fillId="0" borderId="14" xfId="0" applyFont="1" applyBorder="1"/>
    <xf numFmtId="0" fontId="11" fillId="0" borderId="0" xfId="0" applyFont="1"/>
    <xf numFmtId="0" fontId="11" fillId="0" borderId="0" xfId="0" applyFont="1" applyAlignment="1">
      <alignment wrapText="1"/>
    </xf>
    <xf numFmtId="0" fontId="11" fillId="0" borderId="14" xfId="0" applyNumberFormat="1" applyFont="1" applyBorder="1" applyAlignment="1">
      <alignment horizontal="center"/>
    </xf>
    <xf numFmtId="49" fontId="11" fillId="0" borderId="14" xfId="0" applyNumberFormat="1" applyFont="1" applyBorder="1"/>
    <xf numFmtId="0" fontId="11" fillId="0" borderId="0" xfId="2" applyFont="1" applyAlignment="1">
      <alignment horizontal="center" vertical="center"/>
    </xf>
    <xf numFmtId="0" fontId="7" fillId="0" borderId="14" xfId="2" applyFont="1" applyFill="1" applyBorder="1">
      <alignment vertical="center"/>
    </xf>
    <xf numFmtId="0" fontId="7" fillId="0" borderId="0" xfId="0" applyFont="1"/>
    <xf numFmtId="0" fontId="11" fillId="0" borderId="0" xfId="0" applyFont="1" applyFill="1" applyBorder="1" applyAlignment="1">
      <alignment horizontal="left" vertical="center"/>
    </xf>
    <xf numFmtId="0" fontId="7" fillId="0" borderId="0" xfId="2" applyFont="1" applyFill="1" applyBorder="1" applyAlignment="1">
      <alignment vertical="center"/>
    </xf>
    <xf numFmtId="0" fontId="7" fillId="0" borderId="0" xfId="2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vertical="center"/>
    </xf>
    <xf numFmtId="0" fontId="11" fillId="0" borderId="0" xfId="2" quotePrefix="1" applyFont="1">
      <alignment vertical="center"/>
    </xf>
    <xf numFmtId="49" fontId="11" fillId="0" borderId="14" xfId="2" applyNumberFormat="1" applyFont="1" applyBorder="1">
      <alignment vertical="center"/>
    </xf>
    <xf numFmtId="49" fontId="7" fillId="0" borderId="14" xfId="2" applyNumberFormat="1" applyFont="1" applyFill="1" applyBorder="1">
      <alignment vertical="center"/>
    </xf>
    <xf numFmtId="0" fontId="11" fillId="0" borderId="0" xfId="2" applyFont="1" applyFill="1" applyBorder="1" applyAlignment="1">
      <alignment vertical="center" wrapText="1"/>
    </xf>
  </cellXfs>
  <cellStyles count="5">
    <cellStyle name="ハイパーリンク" xfId="1" builtinId="8"/>
    <cellStyle name="ハイパーリンク 2" xfId="3" xr:uid="{8BC5E1D3-9EB9-4D27-BB9F-B5A6357242C6}"/>
    <cellStyle name="標準" xfId="0" builtinId="0"/>
    <cellStyle name="標準 2" xfId="2" xr:uid="{062F5464-5712-4FA4-B703-9DE32693A3A4}"/>
    <cellStyle name="標準 2 2" xfId="4" xr:uid="{743CD21B-B024-44DC-9830-A16E77F5F8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2</xdr:row>
          <xdr:rowOff>19050</xdr:rowOff>
        </xdr:from>
        <xdr:to>
          <xdr:col>4</xdr:col>
          <xdr:colOff>733425</xdr:colOff>
          <xdr:row>2</xdr:row>
          <xdr:rowOff>295275</xdr:rowOff>
        </xdr:to>
        <xdr:sp macro="" textlink="">
          <xdr:nvSpPr>
            <xdr:cNvPr id="1025" name="btnSQ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</xdr:row>
          <xdr:rowOff>28575</xdr:rowOff>
        </xdr:from>
        <xdr:to>
          <xdr:col>5</xdr:col>
          <xdr:colOff>704850</xdr:colOff>
          <xdr:row>2</xdr:row>
          <xdr:rowOff>304800</xdr:rowOff>
        </xdr:to>
        <xdr:sp macro="" textlink="">
          <xdr:nvSpPr>
            <xdr:cNvPr id="1028" name="btnDat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</xdr:row>
          <xdr:rowOff>38100</xdr:rowOff>
        </xdr:from>
        <xdr:to>
          <xdr:col>6</xdr:col>
          <xdr:colOff>704850</xdr:colOff>
          <xdr:row>2</xdr:row>
          <xdr:rowOff>314325</xdr:rowOff>
        </xdr:to>
        <xdr:sp macro="" textlink="">
          <xdr:nvSpPr>
            <xdr:cNvPr id="1033" name="btnG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19999@16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67A9-E0EE-45CD-96D9-0F6B94B9C6FD}">
  <sheetPr codeName="Sheet3"/>
  <dimension ref="B4:R47"/>
  <sheetViews>
    <sheetView workbookViewId="0">
      <selection activeCell="I21" sqref="I21"/>
    </sheetView>
  </sheetViews>
  <sheetFormatPr defaultRowHeight="12"/>
  <cols>
    <col min="1" max="1" width="9" style="86"/>
    <col min="2" max="2" width="14" style="86" customWidth="1"/>
    <col min="3" max="3" width="15.25" style="86" customWidth="1"/>
    <col min="4" max="6" width="9" style="86" customWidth="1"/>
    <col min="7" max="7" width="2.375" style="86" customWidth="1"/>
    <col min="8" max="8" width="3.125" style="86" bestFit="1" customWidth="1"/>
    <col min="9" max="9" width="15.125" style="86" customWidth="1"/>
    <col min="10" max="10" width="6.625" style="86" customWidth="1"/>
    <col min="11" max="11" width="13.125" style="86" bestFit="1" customWidth="1"/>
    <col min="12" max="12" width="14.625" style="86" customWidth="1"/>
    <col min="13" max="16" width="9" style="86" customWidth="1"/>
    <col min="17" max="17" width="3.125" style="86" bestFit="1" customWidth="1"/>
    <col min="18" max="16384" width="9" style="86"/>
  </cols>
  <sheetData>
    <row r="4" spans="2:18">
      <c r="B4" s="92" t="s">
        <v>234</v>
      </c>
      <c r="K4" s="86" t="s">
        <v>235</v>
      </c>
    </row>
    <row r="5" spans="2:18">
      <c r="B5" s="52" t="s">
        <v>173</v>
      </c>
      <c r="C5" s="52" t="s">
        <v>103</v>
      </c>
      <c r="D5" s="53" t="s">
        <v>58</v>
      </c>
      <c r="E5" s="53">
        <v>60</v>
      </c>
      <c r="F5" s="53"/>
      <c r="G5" s="10" t="s">
        <v>19</v>
      </c>
      <c r="H5" s="10" t="s">
        <v>20</v>
      </c>
      <c r="K5" s="52" t="s">
        <v>173</v>
      </c>
      <c r="L5" s="52" t="s">
        <v>103</v>
      </c>
      <c r="M5" s="53" t="s">
        <v>58</v>
      </c>
      <c r="N5" s="53">
        <v>60</v>
      </c>
      <c r="O5" s="53"/>
      <c r="P5" s="10" t="s">
        <v>19</v>
      </c>
      <c r="Q5" s="10" t="s">
        <v>20</v>
      </c>
    </row>
    <row r="6" spans="2:18">
      <c r="B6" s="52" t="s">
        <v>176</v>
      </c>
      <c r="C6" s="52" t="s">
        <v>104</v>
      </c>
      <c r="D6" s="53" t="s">
        <v>58</v>
      </c>
      <c r="E6" s="53">
        <v>60</v>
      </c>
      <c r="F6" s="53"/>
      <c r="G6" s="10" t="s">
        <v>19</v>
      </c>
      <c r="H6" s="10"/>
      <c r="K6" s="52" t="s">
        <v>204</v>
      </c>
      <c r="L6" s="52" t="s">
        <v>128</v>
      </c>
      <c r="M6" s="53" t="s">
        <v>58</v>
      </c>
      <c r="N6" s="53">
        <v>20</v>
      </c>
      <c r="O6" s="53"/>
      <c r="P6" s="10" t="s">
        <v>19</v>
      </c>
      <c r="Q6" s="10" t="s">
        <v>20</v>
      </c>
    </row>
    <row r="7" spans="2:18">
      <c r="B7" s="52" t="s">
        <v>174</v>
      </c>
      <c r="C7" s="52" t="s">
        <v>105</v>
      </c>
      <c r="D7" s="53" t="s">
        <v>58</v>
      </c>
      <c r="E7" s="53">
        <v>20</v>
      </c>
      <c r="F7" s="53"/>
      <c r="G7" s="10" t="s">
        <v>60</v>
      </c>
      <c r="H7" s="10"/>
      <c r="K7" s="52" t="s">
        <v>205</v>
      </c>
      <c r="L7" s="52" t="s">
        <v>129</v>
      </c>
      <c r="M7" s="53" t="s">
        <v>58</v>
      </c>
      <c r="N7" s="53">
        <v>100</v>
      </c>
      <c r="O7" s="53"/>
      <c r="P7" s="10" t="s">
        <v>66</v>
      </c>
      <c r="Q7" s="10"/>
    </row>
    <row r="8" spans="2:18">
      <c r="B8" s="52" t="s">
        <v>177</v>
      </c>
      <c r="C8" s="52" t="s">
        <v>106</v>
      </c>
      <c r="D8" s="53" t="s">
        <v>58</v>
      </c>
      <c r="E8" s="53">
        <v>20</v>
      </c>
      <c r="F8" s="53"/>
      <c r="G8" s="10" t="s">
        <v>60</v>
      </c>
      <c r="H8" s="10"/>
      <c r="K8" s="52" t="s">
        <v>206</v>
      </c>
      <c r="L8" s="52" t="s">
        <v>130</v>
      </c>
      <c r="M8" s="53" t="s">
        <v>59</v>
      </c>
      <c r="N8" s="53">
        <v>1</v>
      </c>
      <c r="O8" s="53"/>
      <c r="P8" s="10" t="s">
        <v>66</v>
      </c>
      <c r="Q8" s="10"/>
      <c r="R8" s="86" t="s">
        <v>207</v>
      </c>
    </row>
    <row r="9" spans="2:18">
      <c r="B9" s="52" t="s">
        <v>231</v>
      </c>
      <c r="C9" s="52" t="s">
        <v>107</v>
      </c>
      <c r="D9" s="53" t="s">
        <v>59</v>
      </c>
      <c r="E9" s="53">
        <v>11</v>
      </c>
      <c r="F9" s="53"/>
      <c r="G9" s="10" t="s">
        <v>60</v>
      </c>
      <c r="H9" s="10"/>
      <c r="K9" s="52" t="s">
        <v>172</v>
      </c>
      <c r="L9" s="52" t="s">
        <v>131</v>
      </c>
      <c r="M9" s="53" t="s">
        <v>58</v>
      </c>
      <c r="N9" s="53">
        <v>20</v>
      </c>
      <c r="O9" s="53"/>
      <c r="P9" s="10" t="s">
        <v>66</v>
      </c>
      <c r="Q9" s="10"/>
    </row>
    <row r="10" spans="2:18">
      <c r="B10" s="52" t="s">
        <v>179</v>
      </c>
      <c r="C10" s="52" t="s">
        <v>108</v>
      </c>
      <c r="D10" s="53" t="s">
        <v>58</v>
      </c>
      <c r="E10" s="53">
        <v>60</v>
      </c>
      <c r="F10" s="53"/>
      <c r="G10" s="10" t="s">
        <v>60</v>
      </c>
      <c r="H10" s="10"/>
      <c r="K10" s="52" t="s">
        <v>231</v>
      </c>
      <c r="L10" s="52" t="s">
        <v>107</v>
      </c>
      <c r="M10" s="53" t="s">
        <v>59</v>
      </c>
      <c r="N10" s="53">
        <v>11</v>
      </c>
      <c r="O10" s="53"/>
      <c r="P10" s="10" t="s">
        <v>66</v>
      </c>
      <c r="Q10" s="10"/>
    </row>
    <row r="11" spans="2:18">
      <c r="B11" s="52" t="s">
        <v>180</v>
      </c>
      <c r="C11" s="52" t="s">
        <v>109</v>
      </c>
      <c r="D11" s="53" t="s">
        <v>59</v>
      </c>
      <c r="E11" s="53">
        <v>8</v>
      </c>
      <c r="F11" s="53"/>
      <c r="G11" s="10" t="s">
        <v>60</v>
      </c>
      <c r="H11" s="10"/>
    </row>
    <row r="12" spans="2:18">
      <c r="B12" s="52" t="s">
        <v>181</v>
      </c>
      <c r="C12" s="52" t="s">
        <v>110</v>
      </c>
      <c r="D12" s="53" t="s">
        <v>59</v>
      </c>
      <c r="E12" s="53">
        <v>1</v>
      </c>
      <c r="F12" s="53"/>
      <c r="G12" s="10" t="s">
        <v>60</v>
      </c>
      <c r="H12" s="10"/>
    </row>
    <row r="13" spans="2:18">
      <c r="B13" s="52" t="s">
        <v>182</v>
      </c>
      <c r="C13" s="52" t="s">
        <v>111</v>
      </c>
      <c r="D13" s="53" t="s">
        <v>63</v>
      </c>
      <c r="E13" s="57"/>
      <c r="F13" s="57"/>
      <c r="G13" s="10" t="s">
        <v>60</v>
      </c>
      <c r="H13" s="58"/>
      <c r="K13" s="86" t="s">
        <v>141</v>
      </c>
    </row>
    <row r="14" spans="2:18">
      <c r="B14" s="52" t="s">
        <v>183</v>
      </c>
      <c r="C14" s="52" t="s">
        <v>112</v>
      </c>
      <c r="D14" s="53" t="s">
        <v>63</v>
      </c>
      <c r="E14" s="53"/>
      <c r="F14" s="53"/>
      <c r="G14" s="10" t="s">
        <v>60</v>
      </c>
      <c r="H14" s="10"/>
      <c r="K14" s="52" t="s">
        <v>173</v>
      </c>
      <c r="L14" s="52" t="s">
        <v>103</v>
      </c>
      <c r="M14" s="53" t="s">
        <v>58</v>
      </c>
      <c r="N14" s="53">
        <v>60</v>
      </c>
      <c r="O14" s="53"/>
      <c r="P14" s="10" t="s">
        <v>19</v>
      </c>
      <c r="Q14" s="10" t="s">
        <v>20</v>
      </c>
    </row>
    <row r="15" spans="2:18">
      <c r="K15" s="52" t="s">
        <v>202</v>
      </c>
      <c r="L15" s="52" t="s">
        <v>287</v>
      </c>
      <c r="M15" s="53" t="s">
        <v>59</v>
      </c>
      <c r="N15" s="53">
        <v>10</v>
      </c>
      <c r="O15" s="53"/>
      <c r="P15" s="10" t="s">
        <v>66</v>
      </c>
      <c r="Q15" s="10"/>
    </row>
    <row r="16" spans="2:18">
      <c r="K16" s="52" t="s">
        <v>203</v>
      </c>
      <c r="L16" s="52" t="s">
        <v>288</v>
      </c>
      <c r="M16" s="53" t="s">
        <v>58</v>
      </c>
      <c r="N16" s="53">
        <v>200</v>
      </c>
      <c r="O16" s="53"/>
      <c r="P16" s="10" t="s">
        <v>66</v>
      </c>
      <c r="Q16" s="10"/>
    </row>
    <row r="17" spans="2:17">
      <c r="B17" s="86" t="s">
        <v>236</v>
      </c>
      <c r="K17" s="52" t="s">
        <v>188</v>
      </c>
      <c r="L17" s="52" t="s">
        <v>113</v>
      </c>
      <c r="M17" s="53" t="s">
        <v>58</v>
      </c>
      <c r="N17" s="53">
        <v>10</v>
      </c>
      <c r="O17" s="53"/>
      <c r="P17" s="10" t="s">
        <v>66</v>
      </c>
      <c r="Q17" s="10"/>
    </row>
    <row r="18" spans="2:17">
      <c r="B18" s="52" t="s">
        <v>188</v>
      </c>
      <c r="C18" s="52" t="s">
        <v>113</v>
      </c>
      <c r="D18" s="53" t="s">
        <v>59</v>
      </c>
      <c r="E18" s="53">
        <v>10</v>
      </c>
      <c r="F18" s="53"/>
      <c r="G18" s="10" t="s">
        <v>66</v>
      </c>
      <c r="H18" s="10" t="s">
        <v>20</v>
      </c>
      <c r="K18" s="52" t="s">
        <v>167</v>
      </c>
      <c r="L18" s="52" t="s">
        <v>116</v>
      </c>
      <c r="M18" s="53" t="s">
        <v>58</v>
      </c>
      <c r="N18" s="53">
        <v>60</v>
      </c>
      <c r="O18" s="53"/>
      <c r="P18" s="10" t="s">
        <v>84</v>
      </c>
      <c r="Q18" s="10"/>
    </row>
    <row r="19" spans="2:17">
      <c r="B19" s="52" t="s">
        <v>194</v>
      </c>
      <c r="C19" s="52" t="s">
        <v>114</v>
      </c>
      <c r="D19" s="53" t="s">
        <v>58</v>
      </c>
      <c r="E19" s="53">
        <v>60</v>
      </c>
      <c r="F19" s="53"/>
      <c r="G19" s="10" t="s">
        <v>66</v>
      </c>
      <c r="H19" s="10"/>
    </row>
    <row r="20" spans="2:17">
      <c r="B20" s="52" t="s">
        <v>166</v>
      </c>
      <c r="C20" s="52" t="s">
        <v>115</v>
      </c>
      <c r="D20" s="53" t="s">
        <v>59</v>
      </c>
      <c r="E20" s="53">
        <v>2</v>
      </c>
      <c r="F20" s="53"/>
      <c r="G20" s="10" t="s">
        <v>19</v>
      </c>
      <c r="H20" s="10"/>
    </row>
    <row r="21" spans="2:17">
      <c r="B21" s="52" t="s">
        <v>202</v>
      </c>
      <c r="C21" s="52" t="s">
        <v>287</v>
      </c>
      <c r="D21" s="53" t="s">
        <v>59</v>
      </c>
      <c r="E21" s="53">
        <v>10</v>
      </c>
      <c r="F21" s="53"/>
      <c r="G21" s="10" t="s">
        <v>19</v>
      </c>
      <c r="H21" s="10"/>
    </row>
    <row r="22" spans="2:17">
      <c r="B22" s="52" t="s">
        <v>203</v>
      </c>
      <c r="C22" s="52" t="s">
        <v>288</v>
      </c>
      <c r="D22" s="53" t="s">
        <v>58</v>
      </c>
      <c r="E22" s="53">
        <v>200</v>
      </c>
      <c r="F22" s="53"/>
      <c r="G22" s="10" t="s">
        <v>19</v>
      </c>
      <c r="H22" s="10"/>
      <c r="K22" s="86" t="s">
        <v>238</v>
      </c>
    </row>
    <row r="23" spans="2:17">
      <c r="B23" s="52" t="s">
        <v>167</v>
      </c>
      <c r="C23" s="52" t="s">
        <v>116</v>
      </c>
      <c r="D23" s="53" t="s">
        <v>58</v>
      </c>
      <c r="E23" s="53">
        <v>60</v>
      </c>
      <c r="F23" s="53"/>
      <c r="G23" s="10" t="s">
        <v>84</v>
      </c>
      <c r="H23" s="10"/>
      <c r="K23" s="52" t="s">
        <v>173</v>
      </c>
      <c r="L23" s="52" t="s">
        <v>103</v>
      </c>
      <c r="M23" s="53" t="s">
        <v>58</v>
      </c>
      <c r="N23" s="53">
        <v>60</v>
      </c>
      <c r="O23" s="53"/>
      <c r="P23" s="10" t="s">
        <v>19</v>
      </c>
      <c r="Q23" s="10" t="s">
        <v>20</v>
      </c>
    </row>
    <row r="24" spans="2:17">
      <c r="B24" s="52" t="s">
        <v>196</v>
      </c>
      <c r="C24" s="52" t="s">
        <v>117</v>
      </c>
      <c r="D24" s="53" t="s">
        <v>58</v>
      </c>
      <c r="E24" s="53">
        <v>1000</v>
      </c>
      <c r="F24" s="53"/>
      <c r="G24" s="10" t="s">
        <v>84</v>
      </c>
      <c r="H24" s="10"/>
      <c r="K24" s="52" t="s">
        <v>188</v>
      </c>
      <c r="L24" s="52" t="s">
        <v>113</v>
      </c>
      <c r="M24" s="53" t="s">
        <v>59</v>
      </c>
      <c r="N24" s="53">
        <v>10</v>
      </c>
      <c r="O24" s="53"/>
      <c r="P24" s="10" t="s">
        <v>19</v>
      </c>
      <c r="Q24" s="10" t="s">
        <v>20</v>
      </c>
    </row>
    <row r="25" spans="2:17">
      <c r="B25" s="52" t="s">
        <v>189</v>
      </c>
      <c r="C25" s="52" t="s">
        <v>118</v>
      </c>
      <c r="D25" s="53" t="s">
        <v>58</v>
      </c>
      <c r="E25" s="53">
        <v>1000</v>
      </c>
      <c r="F25" s="53"/>
      <c r="G25" s="10"/>
      <c r="H25" s="10"/>
      <c r="K25" s="52" t="s">
        <v>202</v>
      </c>
      <c r="L25" s="52" t="s">
        <v>287</v>
      </c>
      <c r="M25" s="53" t="s">
        <v>59</v>
      </c>
      <c r="N25" s="53">
        <v>10</v>
      </c>
      <c r="O25" s="53"/>
      <c r="P25" s="10" t="s">
        <v>19</v>
      </c>
      <c r="Q25" s="10"/>
    </row>
    <row r="26" spans="2:17">
      <c r="B26" s="52" t="s">
        <v>197</v>
      </c>
      <c r="C26" s="52" t="s">
        <v>119</v>
      </c>
      <c r="D26" s="53" t="s">
        <v>58</v>
      </c>
      <c r="E26" s="53">
        <v>1000</v>
      </c>
      <c r="F26" s="53"/>
      <c r="G26" s="10"/>
      <c r="H26" s="10"/>
      <c r="K26" s="52" t="s">
        <v>203</v>
      </c>
      <c r="L26" s="52" t="s">
        <v>288</v>
      </c>
      <c r="M26" s="53" t="s">
        <v>58</v>
      </c>
      <c r="N26" s="53">
        <v>200</v>
      </c>
      <c r="O26" s="53"/>
      <c r="P26" s="10" t="s">
        <v>66</v>
      </c>
      <c r="Q26" s="10"/>
    </row>
    <row r="27" spans="2:17">
      <c r="B27" s="52" t="s">
        <v>190</v>
      </c>
      <c r="C27" s="52" t="s">
        <v>120</v>
      </c>
      <c r="D27" s="53" t="s">
        <v>121</v>
      </c>
      <c r="E27" s="53"/>
      <c r="F27" s="53"/>
      <c r="G27" s="10"/>
      <c r="H27" s="10"/>
      <c r="K27" s="52" t="s">
        <v>168</v>
      </c>
      <c r="L27" s="52" t="s">
        <v>116</v>
      </c>
      <c r="M27" s="53" t="s">
        <v>58</v>
      </c>
      <c r="N27" s="53">
        <v>30</v>
      </c>
      <c r="O27" s="53"/>
      <c r="P27" s="10" t="s">
        <v>19</v>
      </c>
      <c r="Q27" s="10"/>
    </row>
    <row r="28" spans="2:17">
      <c r="B28" s="52" t="s">
        <v>198</v>
      </c>
      <c r="C28" s="52" t="s">
        <v>122</v>
      </c>
      <c r="D28" s="53" t="s">
        <v>121</v>
      </c>
      <c r="E28" s="53"/>
      <c r="F28" s="53"/>
      <c r="G28" s="10"/>
      <c r="H28" s="10"/>
      <c r="K28" s="52" t="s">
        <v>190</v>
      </c>
      <c r="L28" s="52" t="s">
        <v>120</v>
      </c>
      <c r="M28" s="53" t="s">
        <v>121</v>
      </c>
      <c r="N28" s="53"/>
      <c r="O28" s="53"/>
      <c r="P28" s="10" t="s">
        <v>19</v>
      </c>
      <c r="Q28" s="10"/>
    </row>
    <row r="29" spans="2:17">
      <c r="B29" s="52" t="s">
        <v>199</v>
      </c>
      <c r="C29" s="52" t="s">
        <v>123</v>
      </c>
      <c r="D29" s="53" t="s">
        <v>124</v>
      </c>
      <c r="E29" s="53">
        <v>10</v>
      </c>
      <c r="F29" s="53">
        <v>2</v>
      </c>
      <c r="G29" s="10" t="s">
        <v>19</v>
      </c>
      <c r="H29" s="10"/>
      <c r="K29" s="52" t="s">
        <v>232</v>
      </c>
      <c r="L29" s="52" t="s">
        <v>132</v>
      </c>
      <c r="M29" s="53" t="s">
        <v>41</v>
      </c>
      <c r="N29" s="53">
        <v>10</v>
      </c>
      <c r="O29" s="53">
        <v>2</v>
      </c>
      <c r="P29" s="10" t="s">
        <v>19</v>
      </c>
      <c r="Q29" s="10"/>
    </row>
    <row r="30" spans="2:17">
      <c r="B30" s="52" t="s">
        <v>200</v>
      </c>
      <c r="C30" s="52" t="s">
        <v>125</v>
      </c>
      <c r="D30" s="53" t="s">
        <v>124</v>
      </c>
      <c r="E30" s="53">
        <v>10</v>
      </c>
      <c r="F30" s="53">
        <v>2</v>
      </c>
      <c r="G30" s="10" t="s">
        <v>19</v>
      </c>
      <c r="H30" s="10"/>
      <c r="K30" s="93"/>
      <c r="L30" s="93"/>
      <c r="M30" s="94"/>
      <c r="N30" s="94"/>
      <c r="O30" s="94"/>
      <c r="P30" s="95"/>
      <c r="Q30" s="95"/>
    </row>
    <row r="31" spans="2:17" ht="36">
      <c r="B31" s="52" t="s">
        <v>201</v>
      </c>
      <c r="C31" s="52" t="s">
        <v>126</v>
      </c>
      <c r="D31" s="53" t="s">
        <v>59</v>
      </c>
      <c r="E31" s="53">
        <v>1</v>
      </c>
      <c r="F31" s="53"/>
      <c r="G31" s="10" t="s">
        <v>84</v>
      </c>
      <c r="H31" s="10"/>
      <c r="I31" s="87" t="s">
        <v>230</v>
      </c>
      <c r="J31" s="87"/>
      <c r="K31" s="93"/>
      <c r="L31" s="93"/>
      <c r="M31" s="94"/>
      <c r="N31" s="94"/>
      <c r="O31" s="94"/>
      <c r="P31" s="95"/>
      <c r="Q31" s="95"/>
    </row>
    <row r="32" spans="2:17">
      <c r="K32" s="86" t="s">
        <v>210</v>
      </c>
    </row>
    <row r="33" spans="2:18">
      <c r="K33" s="52" t="s">
        <v>211</v>
      </c>
      <c r="L33" s="52" t="s">
        <v>133</v>
      </c>
      <c r="M33" s="53" t="s">
        <v>58</v>
      </c>
      <c r="N33" s="53">
        <v>60</v>
      </c>
      <c r="O33" s="53"/>
      <c r="P33" s="10" t="s">
        <v>19</v>
      </c>
      <c r="Q33" s="10" t="s">
        <v>20</v>
      </c>
    </row>
    <row r="34" spans="2:18">
      <c r="B34" s="86" t="s">
        <v>237</v>
      </c>
      <c r="K34" s="52" t="s">
        <v>212</v>
      </c>
      <c r="L34" s="52" t="s">
        <v>134</v>
      </c>
      <c r="M34" s="53" t="s">
        <v>58</v>
      </c>
      <c r="N34" s="53">
        <v>60</v>
      </c>
      <c r="O34" s="53"/>
      <c r="P34" s="10" t="s">
        <v>19</v>
      </c>
      <c r="Q34" s="10"/>
    </row>
    <row r="35" spans="2:18">
      <c r="B35" s="52" t="s">
        <v>194</v>
      </c>
      <c r="C35" s="52" t="s">
        <v>114</v>
      </c>
      <c r="D35" s="53" t="s">
        <v>58</v>
      </c>
      <c r="E35" s="53">
        <v>60</v>
      </c>
      <c r="F35" s="53"/>
      <c r="G35" s="10" t="s">
        <v>66</v>
      </c>
      <c r="H35" s="10" t="s">
        <v>20</v>
      </c>
      <c r="K35" s="52" t="s">
        <v>213</v>
      </c>
      <c r="L35" s="52" t="s">
        <v>135</v>
      </c>
      <c r="M35" s="53" t="s">
        <v>58</v>
      </c>
      <c r="N35" s="53">
        <v>50</v>
      </c>
      <c r="O35" s="53"/>
      <c r="P35" s="10" t="s">
        <v>19</v>
      </c>
      <c r="Q35" s="10"/>
    </row>
    <row r="36" spans="2:18">
      <c r="B36" s="52" t="s">
        <v>195</v>
      </c>
      <c r="C36" s="52" t="s">
        <v>127</v>
      </c>
      <c r="D36" s="53" t="s">
        <v>58</v>
      </c>
      <c r="E36" s="53">
        <v>60</v>
      </c>
      <c r="F36" s="53"/>
      <c r="G36" s="10" t="s">
        <v>60</v>
      </c>
      <c r="H36" s="10"/>
      <c r="K36" s="52" t="s">
        <v>214</v>
      </c>
      <c r="L36" s="52" t="s">
        <v>136</v>
      </c>
      <c r="M36" s="53" t="s">
        <v>58</v>
      </c>
      <c r="N36" s="53">
        <v>60</v>
      </c>
      <c r="O36" s="53"/>
      <c r="P36" s="10" t="s">
        <v>19</v>
      </c>
      <c r="Q36" s="10"/>
    </row>
    <row r="37" spans="2:18">
      <c r="B37" s="52" t="s">
        <v>231</v>
      </c>
      <c r="C37" s="52" t="s">
        <v>107</v>
      </c>
      <c r="D37" s="53" t="s">
        <v>59</v>
      </c>
      <c r="E37" s="53">
        <v>11</v>
      </c>
      <c r="F37" s="53"/>
      <c r="G37" s="10" t="s">
        <v>60</v>
      </c>
      <c r="H37" s="10"/>
      <c r="K37" s="52" t="s">
        <v>215</v>
      </c>
      <c r="L37" s="52" t="s">
        <v>137</v>
      </c>
      <c r="M37" s="53" t="s">
        <v>58</v>
      </c>
      <c r="N37" s="53">
        <v>60</v>
      </c>
      <c r="O37" s="53"/>
      <c r="P37" s="10" t="s">
        <v>19</v>
      </c>
      <c r="Q37" s="10"/>
    </row>
    <row r="38" spans="2:18">
      <c r="B38" s="52" t="s">
        <v>204</v>
      </c>
      <c r="C38" s="52" t="s">
        <v>128</v>
      </c>
      <c r="D38" s="53" t="s">
        <v>58</v>
      </c>
      <c r="E38" s="53">
        <v>20</v>
      </c>
      <c r="F38" s="53"/>
      <c r="G38" s="10" t="s">
        <v>19</v>
      </c>
      <c r="H38" s="10"/>
      <c r="K38" s="52" t="s">
        <v>216</v>
      </c>
      <c r="L38" s="52" t="s">
        <v>138</v>
      </c>
      <c r="M38" s="53" t="s">
        <v>58</v>
      </c>
      <c r="N38" s="53">
        <v>60</v>
      </c>
      <c r="O38" s="53"/>
      <c r="P38" s="10" t="s">
        <v>19</v>
      </c>
      <c r="Q38" s="10"/>
      <c r="R38" s="86" t="s">
        <v>217</v>
      </c>
    </row>
    <row r="39" spans="2:18">
      <c r="B39" s="52" t="s">
        <v>205</v>
      </c>
      <c r="C39" s="52" t="s">
        <v>129</v>
      </c>
      <c r="D39" s="53" t="s">
        <v>58</v>
      </c>
      <c r="E39" s="53">
        <v>100</v>
      </c>
      <c r="F39" s="53"/>
      <c r="G39" s="10" t="s">
        <v>66</v>
      </c>
      <c r="H39" s="10"/>
      <c r="K39" s="52" t="s">
        <v>218</v>
      </c>
      <c r="L39" s="52" t="s">
        <v>139</v>
      </c>
      <c r="M39" s="53" t="s">
        <v>41</v>
      </c>
      <c r="N39" s="53">
        <v>10</v>
      </c>
      <c r="O39" s="53">
        <v>2</v>
      </c>
      <c r="P39" s="10" t="s">
        <v>19</v>
      </c>
      <c r="Q39" s="10"/>
    </row>
    <row r="40" spans="2:18">
      <c r="K40" s="52" t="s">
        <v>184</v>
      </c>
      <c r="L40" s="52" t="s">
        <v>140</v>
      </c>
      <c r="M40" s="53" t="s">
        <v>52</v>
      </c>
      <c r="N40" s="53" t="s">
        <v>63</v>
      </c>
      <c r="O40" s="53"/>
      <c r="P40" s="10" t="s">
        <v>19</v>
      </c>
      <c r="Q40" s="10"/>
    </row>
    <row r="43" spans="2:18">
      <c r="K43" s="86" t="s">
        <v>239</v>
      </c>
    </row>
    <row r="44" spans="2:18">
      <c r="K44" s="52" t="s">
        <v>211</v>
      </c>
      <c r="L44" s="52" t="s">
        <v>133</v>
      </c>
      <c r="M44" s="53" t="s">
        <v>58</v>
      </c>
      <c r="N44" s="53">
        <v>60</v>
      </c>
      <c r="O44" s="53"/>
      <c r="P44" s="10" t="s">
        <v>19</v>
      </c>
      <c r="Q44" s="10" t="s">
        <v>20</v>
      </c>
    </row>
    <row r="45" spans="2:18">
      <c r="K45" s="85" t="s">
        <v>188</v>
      </c>
      <c r="L45" s="52" t="s">
        <v>113</v>
      </c>
      <c r="M45" s="53" t="s">
        <v>59</v>
      </c>
      <c r="N45" s="53">
        <v>10</v>
      </c>
      <c r="O45" s="85"/>
      <c r="P45" s="10" t="s">
        <v>19</v>
      </c>
      <c r="Q45" s="85"/>
    </row>
    <row r="46" spans="2:18">
      <c r="K46" s="52" t="s">
        <v>194</v>
      </c>
      <c r="L46" s="52" t="s">
        <v>114</v>
      </c>
      <c r="M46" s="53" t="s">
        <v>58</v>
      </c>
      <c r="N46" s="53">
        <v>60</v>
      </c>
      <c r="O46" s="53"/>
      <c r="P46" s="10" t="s">
        <v>19</v>
      </c>
      <c r="Q46" s="10" t="s">
        <v>20</v>
      </c>
    </row>
    <row r="47" spans="2:18">
      <c r="K47" s="52" t="s">
        <v>168</v>
      </c>
      <c r="L47" s="52" t="s">
        <v>116</v>
      </c>
      <c r="M47" s="53" t="s">
        <v>58</v>
      </c>
      <c r="N47" s="53">
        <v>60</v>
      </c>
      <c r="O47" s="53"/>
      <c r="P47" s="10" t="s">
        <v>19</v>
      </c>
      <c r="Q47" s="10"/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5ABC-B630-4C73-B1FC-0F14F561B86A}">
  <sheetPr codeName="Sheet1"/>
  <dimension ref="B3:S17"/>
  <sheetViews>
    <sheetView zoomScaleNormal="100" workbookViewId="0">
      <pane ySplit="4" topLeftCell="A5" activePane="bottomLeft" state="frozen"/>
      <selection pane="bottomLeft" activeCell="C21" sqref="C21"/>
    </sheetView>
  </sheetViews>
  <sheetFormatPr defaultRowHeight="12"/>
  <cols>
    <col min="1" max="1" width="9" style="68"/>
    <col min="2" max="2" width="4.125" style="68" bestFit="1" customWidth="1"/>
    <col min="3" max="3" width="16.875" style="68" customWidth="1"/>
    <col min="4" max="4" width="18.875" style="68" bestFit="1" customWidth="1"/>
    <col min="5" max="7" width="10.625" style="68" customWidth="1"/>
    <col min="8" max="15" width="9" style="68"/>
    <col min="16" max="16" width="5.875" style="68" customWidth="1"/>
    <col min="17" max="17" width="17.125" style="68" bestFit="1" customWidth="1"/>
    <col min="18" max="18" width="24" style="68" bestFit="1" customWidth="1"/>
    <col min="19" max="19" width="27" style="68" customWidth="1"/>
    <col min="20" max="16384" width="9" style="68"/>
  </cols>
  <sheetData>
    <row r="3" spans="2:19" ht="27" customHeight="1">
      <c r="P3" s="68" t="s">
        <v>62</v>
      </c>
      <c r="Q3" s="67"/>
    </row>
    <row r="4" spans="2:19">
      <c r="B4" s="69" t="s">
        <v>31</v>
      </c>
      <c r="C4" s="69" t="s">
        <v>169</v>
      </c>
      <c r="D4" s="69" t="s">
        <v>170</v>
      </c>
      <c r="E4" s="69" t="s">
        <v>145</v>
      </c>
      <c r="F4" s="69" t="s">
        <v>146</v>
      </c>
      <c r="G4" s="69" t="s">
        <v>147</v>
      </c>
      <c r="P4" s="70" t="s">
        <v>31</v>
      </c>
      <c r="Q4" s="70" t="s">
        <v>28</v>
      </c>
      <c r="R4" s="70" t="s">
        <v>29</v>
      </c>
      <c r="S4" s="70" t="s">
        <v>30</v>
      </c>
    </row>
    <row r="5" spans="2:19" ht="18.75">
      <c r="B5" s="71">
        <f t="shared" ref="B5" si="0">IF(C5="","",ROW()-4)</f>
        <v>1</v>
      </c>
      <c r="C5" s="72" t="s">
        <v>160</v>
      </c>
      <c r="D5" s="73" t="s">
        <v>142</v>
      </c>
      <c r="E5" s="75"/>
      <c r="F5" s="75"/>
      <c r="G5" s="75"/>
      <c r="P5" s="14">
        <f>IF(Q5="","",ROW()-4)</f>
        <v>1</v>
      </c>
      <c r="Q5" s="16" t="s">
        <v>25</v>
      </c>
      <c r="R5" s="15" t="s">
        <v>26</v>
      </c>
      <c r="S5" s="15" t="s">
        <v>27</v>
      </c>
    </row>
    <row r="6" spans="2:19" ht="24">
      <c r="B6" s="71">
        <f>IF(C6="","",ROW()-4)</f>
        <v>2</v>
      </c>
      <c r="C6" s="72" t="s">
        <v>241</v>
      </c>
      <c r="D6" s="73" t="s">
        <v>243</v>
      </c>
      <c r="E6" s="75" t="s">
        <v>148</v>
      </c>
      <c r="F6" s="75" t="s">
        <v>148</v>
      </c>
      <c r="G6" s="75" t="s">
        <v>148</v>
      </c>
      <c r="P6" s="14">
        <f t="shared" ref="P6:P17" si="1">IF(Q6="","",ROW()-4)</f>
        <v>2</v>
      </c>
      <c r="Q6" s="17" t="s">
        <v>32</v>
      </c>
      <c r="R6" s="15" t="s">
        <v>33</v>
      </c>
      <c r="S6" s="15" t="s">
        <v>34</v>
      </c>
    </row>
    <row r="7" spans="2:19" ht="24">
      <c r="B7" s="71">
        <f>IF(C7="","",ROW()-4)</f>
        <v>3</v>
      </c>
      <c r="C7" s="72" t="s">
        <v>242</v>
      </c>
      <c r="D7" s="73" t="s">
        <v>248</v>
      </c>
      <c r="E7" s="75"/>
      <c r="F7" s="75"/>
      <c r="G7" s="75"/>
      <c r="P7" s="14">
        <f t="shared" si="1"/>
        <v>3</v>
      </c>
      <c r="Q7" s="16" t="s">
        <v>35</v>
      </c>
      <c r="R7" s="15" t="s">
        <v>36</v>
      </c>
      <c r="S7" s="15" t="s">
        <v>37</v>
      </c>
    </row>
    <row r="8" spans="2:19" ht="24">
      <c r="B8" s="71">
        <f t="shared" ref="B8:B15" si="2">IF(C8="","",ROW()-4)</f>
        <v>4</v>
      </c>
      <c r="C8" s="72" t="s">
        <v>191</v>
      </c>
      <c r="D8" s="76" t="s">
        <v>149</v>
      </c>
      <c r="E8" s="75"/>
      <c r="F8" s="75"/>
      <c r="G8" s="75"/>
      <c r="P8" s="14">
        <f t="shared" si="1"/>
        <v>4</v>
      </c>
      <c r="Q8" s="16" t="s">
        <v>38</v>
      </c>
      <c r="R8" s="16" t="s">
        <v>175</v>
      </c>
      <c r="S8" s="16" t="s">
        <v>39</v>
      </c>
    </row>
    <row r="9" spans="2:19" ht="24">
      <c r="B9" s="71">
        <f t="shared" si="2"/>
        <v>5</v>
      </c>
      <c r="C9" s="72" t="s">
        <v>161</v>
      </c>
      <c r="D9" s="73" t="s">
        <v>143</v>
      </c>
      <c r="E9" s="75"/>
      <c r="F9" s="75"/>
      <c r="G9" s="75"/>
      <c r="P9" s="14">
        <f t="shared" si="1"/>
        <v>5</v>
      </c>
      <c r="Q9" s="17" t="s">
        <v>40</v>
      </c>
      <c r="R9" s="16" t="s">
        <v>175</v>
      </c>
      <c r="S9" s="16" t="s">
        <v>39</v>
      </c>
    </row>
    <row r="10" spans="2:19" ht="18.75">
      <c r="B10" s="71">
        <f t="shared" si="2"/>
        <v>6</v>
      </c>
      <c r="C10" s="72" t="s">
        <v>192</v>
      </c>
      <c r="D10" s="73" t="s">
        <v>150</v>
      </c>
      <c r="E10" s="75"/>
      <c r="F10" s="75"/>
      <c r="G10" s="75"/>
      <c r="P10" s="14">
        <f t="shared" si="1"/>
        <v>6</v>
      </c>
      <c r="Q10" s="16" t="s">
        <v>41</v>
      </c>
      <c r="R10" s="16" t="s">
        <v>42</v>
      </c>
      <c r="S10" s="16" t="s">
        <v>43</v>
      </c>
    </row>
    <row r="11" spans="2:19" ht="36">
      <c r="B11" s="71">
        <f t="shared" si="2"/>
        <v>7</v>
      </c>
      <c r="C11" s="72" t="s">
        <v>162</v>
      </c>
      <c r="D11" s="73" t="s">
        <v>165</v>
      </c>
      <c r="E11" s="75"/>
      <c r="F11" s="75"/>
      <c r="G11" s="75"/>
      <c r="P11" s="14">
        <f t="shared" si="1"/>
        <v>7</v>
      </c>
      <c r="Q11" s="17" t="s">
        <v>44</v>
      </c>
      <c r="R11" s="16" t="s">
        <v>45</v>
      </c>
      <c r="S11" s="16"/>
    </row>
    <row r="12" spans="2:19" ht="24">
      <c r="B12" s="71">
        <f t="shared" si="2"/>
        <v>8</v>
      </c>
      <c r="C12" s="74" t="s">
        <v>163</v>
      </c>
      <c r="D12" s="76" t="s">
        <v>151</v>
      </c>
      <c r="E12" s="75"/>
      <c r="F12" s="75"/>
      <c r="G12" s="75"/>
      <c r="P12" s="14">
        <f t="shared" si="1"/>
        <v>8</v>
      </c>
      <c r="Q12" s="17" t="s">
        <v>46</v>
      </c>
      <c r="R12" s="16" t="s">
        <v>47</v>
      </c>
      <c r="S12" s="16"/>
    </row>
    <row r="13" spans="2:19" ht="18.75">
      <c r="B13" s="71">
        <f t="shared" si="2"/>
        <v>9</v>
      </c>
      <c r="C13" s="72" t="s">
        <v>193</v>
      </c>
      <c r="D13" s="76" t="s">
        <v>152</v>
      </c>
      <c r="E13" s="75"/>
      <c r="F13" s="75"/>
      <c r="G13" s="75"/>
      <c r="P13" s="14">
        <f t="shared" si="1"/>
        <v>9</v>
      </c>
      <c r="Q13" s="16" t="s">
        <v>48</v>
      </c>
      <c r="R13" s="16" t="s">
        <v>49</v>
      </c>
      <c r="S13" s="16"/>
    </row>
    <row r="14" spans="2:19" ht="18.75">
      <c r="B14" s="71">
        <f t="shared" si="2"/>
        <v>10</v>
      </c>
      <c r="C14" s="72" t="s">
        <v>164</v>
      </c>
      <c r="D14" s="76" t="s">
        <v>153</v>
      </c>
      <c r="E14" s="75"/>
      <c r="F14" s="75"/>
      <c r="G14" s="75"/>
      <c r="P14" s="14">
        <f t="shared" si="1"/>
        <v>10</v>
      </c>
      <c r="Q14" s="17" t="s">
        <v>50</v>
      </c>
      <c r="R14" s="16" t="s">
        <v>185</v>
      </c>
      <c r="S14" s="16"/>
    </row>
    <row r="15" spans="2:19" ht="18.75">
      <c r="B15" s="71">
        <f t="shared" si="2"/>
        <v>11</v>
      </c>
      <c r="C15" s="72" t="s">
        <v>208</v>
      </c>
      <c r="D15" s="73" t="s">
        <v>144</v>
      </c>
      <c r="E15" s="75"/>
      <c r="F15" s="75"/>
      <c r="G15" s="75"/>
      <c r="P15" s="14">
        <f t="shared" si="1"/>
        <v>11</v>
      </c>
      <c r="Q15" s="16" t="s">
        <v>51</v>
      </c>
      <c r="R15" s="16" t="s">
        <v>186</v>
      </c>
      <c r="S15" s="16"/>
    </row>
    <row r="16" spans="2:19">
      <c r="P16" s="14">
        <f t="shared" si="1"/>
        <v>12</v>
      </c>
      <c r="Q16" s="16" t="s">
        <v>52</v>
      </c>
      <c r="R16" s="16" t="s">
        <v>187</v>
      </c>
      <c r="S16" s="16"/>
    </row>
    <row r="17" spans="16:19">
      <c r="P17" s="14">
        <f t="shared" si="1"/>
        <v>13</v>
      </c>
      <c r="Q17" s="16" t="s">
        <v>53</v>
      </c>
      <c r="R17" s="16" t="s">
        <v>54</v>
      </c>
      <c r="S17" s="16"/>
    </row>
  </sheetData>
  <phoneticPr fontId="4"/>
  <dataValidations count="1">
    <dataValidation type="list" allowBlank="1" showInputMessage="1" showErrorMessage="1" sqref="E5:G15" xr:uid="{0BF4C76B-1E4E-4751-B843-D58C9BE0BE02}">
      <formula1>"○"</formula1>
    </dataValidation>
  </dataValidations>
  <hyperlinks>
    <hyperlink ref="C6" location="商品分類情報!Print_Area" display="商品分類情報" xr:uid="{B03FB056-27D5-4E4C-85CA-C275900988EB}"/>
    <hyperlink ref="C8" location="商品情報!Print_Area" display="商品情報" xr:uid="{A79ADEBE-E668-457F-ADAD-1578E4D597C1}"/>
    <hyperlink ref="C9" location="住所情報!Print_Area" display="住所情報" xr:uid="{22301107-4CCF-44E8-8C68-0B6C6F33D09A}"/>
    <hyperlink ref="C10" location="商品収蔵情報!Print_Area" display="商品収蔵情報" xr:uid="{82CE1CE3-A81E-4F33-B0F1-1402BA8CA408}"/>
    <hyperlink ref="C11" location="カート情報!Print_Area" display="カート情報" xr:uid="{072E55D8-4E5E-4522-91A4-761B6333606A}"/>
    <hyperlink ref="C13" location="注文商品一覧情報!Print_Area" display="注文商品一覧情報" xr:uid="{E887A15B-D86E-496B-BF1F-4ED3302D0ED5}"/>
    <hyperlink ref="C14" location="売家情報!Print_Area" display="売家情報" xr:uid="{7F9E2F46-C202-4F66-8D32-0DCE6CFB8704}"/>
    <hyperlink ref="C15" location="区分コード情報!Print_Area" display="区分コード情報" xr:uid="{31A743E1-0B1E-4CE2-BC33-951089EE0B4B}"/>
    <hyperlink ref="C5" location="ユーザ情報!Print_Area" display="ユーザ情報" xr:uid="{73D7F8D9-4BCA-4AF1-B832-20DC8FC3F8C7}"/>
    <hyperlink ref="C12" location="注文情報!Print_Area" display="注文情報" xr:uid="{6F2FE757-330C-41AB-B49E-DDA7DDF02E71}"/>
    <hyperlink ref="C7" location="商品中分類情報!Print_Area" display="商品中分類情報" xr:uid="{5CBC073A-8D53-4641-B608-2933B154744D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QL">
          <controlPr defaultSize="0" autoLine="0" r:id="rId4">
            <anchor moveWithCells="1">
              <from>
                <xdr:col>4</xdr:col>
                <xdr:colOff>95250</xdr:colOff>
                <xdr:row>2</xdr:row>
                <xdr:rowOff>19050</xdr:rowOff>
              </from>
              <to>
                <xdr:col>4</xdr:col>
                <xdr:colOff>733425</xdr:colOff>
                <xdr:row>2</xdr:row>
                <xdr:rowOff>295275</xdr:rowOff>
              </to>
            </anchor>
          </controlPr>
        </control>
      </mc:Choice>
      <mc:Fallback>
        <control shapeId="1025" r:id="rId3" name="btnSQL"/>
      </mc:Fallback>
    </mc:AlternateContent>
    <mc:AlternateContent xmlns:mc="http://schemas.openxmlformats.org/markup-compatibility/2006">
      <mc:Choice Requires="x14">
        <control shapeId="1028" r:id="rId5" name="btnData">
          <controlPr defaultSize="0" autoLine="0" r:id="rId6">
            <anchor moveWithCells="1">
              <from>
                <xdr:col>5</xdr:col>
                <xdr:colOff>66675</xdr:colOff>
                <xdr:row>2</xdr:row>
                <xdr:rowOff>28575</xdr:rowOff>
              </from>
              <to>
                <xdr:col>5</xdr:col>
                <xdr:colOff>704850</xdr:colOff>
                <xdr:row>2</xdr:row>
                <xdr:rowOff>304800</xdr:rowOff>
              </to>
            </anchor>
          </controlPr>
        </control>
      </mc:Choice>
      <mc:Fallback>
        <control shapeId="1028" r:id="rId5" name="btnData"/>
      </mc:Fallback>
    </mc:AlternateContent>
    <mc:AlternateContent xmlns:mc="http://schemas.openxmlformats.org/markup-compatibility/2006">
      <mc:Choice Requires="x14">
        <control shapeId="1033" r:id="rId7" name="btnGo">
          <controlPr defaultSize="0" autoLine="0" r:id="rId8">
            <anchor moveWithCells="1">
              <from>
                <xdr:col>6</xdr:col>
                <xdr:colOff>66675</xdr:colOff>
                <xdr:row>2</xdr:row>
                <xdr:rowOff>38100</xdr:rowOff>
              </from>
              <to>
                <xdr:col>6</xdr:col>
                <xdr:colOff>704850</xdr:colOff>
                <xdr:row>2</xdr:row>
                <xdr:rowOff>314325</xdr:rowOff>
              </to>
            </anchor>
          </controlPr>
        </control>
      </mc:Choice>
      <mc:Fallback>
        <control shapeId="1033" r:id="rId7" name="btnG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0E44-F9BB-4FC9-8E3D-E9ACC4D0A343}">
  <sheetPr codeName="Sheet15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B9" sqref="B9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TOOL!C5</f>
        <v>ユーザ情報</v>
      </c>
      <c r="C5" s="79" t="str">
        <f>TOOL!D5</f>
        <v>user_info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K8" s="51"/>
      <c r="L8" s="39"/>
    </row>
    <row r="9" spans="1:12" s="12" customFormat="1" ht="24.95" customHeight="1">
      <c r="A9" s="13">
        <f>IF(B9="","",ROW()-8)</f>
        <v>1</v>
      </c>
      <c r="B9" s="52" t="s">
        <v>173</v>
      </c>
      <c r="C9" s="52" t="s">
        <v>103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53" t="s">
        <v>228</v>
      </c>
      <c r="K9" s="54" t="s">
        <v>55</v>
      </c>
      <c r="L9" s="11"/>
    </row>
    <row r="10" spans="1:12" s="12" customFormat="1" ht="24.95" customHeight="1">
      <c r="A10" s="13">
        <f>IF(B10="","",ROW()-8)</f>
        <v>2</v>
      </c>
      <c r="B10" s="52" t="s">
        <v>176</v>
      </c>
      <c r="C10" s="52" t="s">
        <v>104</v>
      </c>
      <c r="D10" s="53" t="s">
        <v>58</v>
      </c>
      <c r="E10" s="53">
        <v>60</v>
      </c>
      <c r="F10" s="53"/>
      <c r="G10" s="10" t="s">
        <v>19</v>
      </c>
      <c r="H10" s="10"/>
      <c r="I10" s="53"/>
      <c r="J10" s="53"/>
      <c r="K10" s="54">
        <v>123456</v>
      </c>
      <c r="L10" s="11"/>
    </row>
    <row r="11" spans="1:12" s="12" customFormat="1" ht="24.95" customHeight="1">
      <c r="A11" s="13">
        <f t="shared" ref="A11:A24" si="0">IF(B11="","",ROW()-8)</f>
        <v>3</v>
      </c>
      <c r="B11" s="52" t="s">
        <v>174</v>
      </c>
      <c r="C11" s="52" t="s">
        <v>105</v>
      </c>
      <c r="D11" s="53" t="s">
        <v>58</v>
      </c>
      <c r="E11" s="53">
        <v>20</v>
      </c>
      <c r="F11" s="53"/>
      <c r="G11" s="10" t="s">
        <v>60</v>
      </c>
      <c r="H11" s="10"/>
      <c r="I11" s="53"/>
      <c r="J11" s="53"/>
      <c r="K11" s="54" t="s">
        <v>61</v>
      </c>
      <c r="L11" s="11"/>
    </row>
    <row r="12" spans="1:12" s="12" customFormat="1" ht="24.95" customHeight="1">
      <c r="A12" s="13">
        <f t="shared" si="0"/>
        <v>4</v>
      </c>
      <c r="B12" s="52" t="s">
        <v>177</v>
      </c>
      <c r="C12" s="52" t="s">
        <v>106</v>
      </c>
      <c r="D12" s="53" t="s">
        <v>58</v>
      </c>
      <c r="E12" s="53">
        <v>20</v>
      </c>
      <c r="F12" s="53"/>
      <c r="G12" s="10" t="s">
        <v>60</v>
      </c>
      <c r="H12" s="10"/>
      <c r="I12" s="53"/>
      <c r="J12" s="53"/>
      <c r="K12" s="54"/>
      <c r="L12" s="11"/>
    </row>
    <row r="13" spans="1:12" s="12" customFormat="1" ht="24.95" customHeight="1">
      <c r="A13" s="13">
        <f t="shared" si="0"/>
        <v>5</v>
      </c>
      <c r="B13" s="52" t="s">
        <v>178</v>
      </c>
      <c r="C13" s="52" t="s">
        <v>107</v>
      </c>
      <c r="D13" s="53" t="s">
        <v>59</v>
      </c>
      <c r="E13" s="53">
        <v>11</v>
      </c>
      <c r="F13" s="53"/>
      <c r="G13" s="10" t="s">
        <v>60</v>
      </c>
      <c r="H13" s="10"/>
      <c r="I13" s="53"/>
      <c r="J13" s="53"/>
      <c r="K13" s="55" t="s">
        <v>56</v>
      </c>
      <c r="L13" s="11"/>
    </row>
    <row r="14" spans="1:12" s="12" customFormat="1" ht="24.95" customHeight="1">
      <c r="A14" s="13">
        <f t="shared" si="0"/>
        <v>6</v>
      </c>
      <c r="B14" s="52" t="s">
        <v>179</v>
      </c>
      <c r="C14" s="52" t="s">
        <v>108</v>
      </c>
      <c r="D14" s="53" t="s">
        <v>58</v>
      </c>
      <c r="E14" s="53">
        <v>60</v>
      </c>
      <c r="F14" s="53"/>
      <c r="G14" s="10" t="s">
        <v>60</v>
      </c>
      <c r="H14" s="10"/>
      <c r="I14" s="53"/>
      <c r="J14" s="53"/>
      <c r="K14" s="56" t="s">
        <v>57</v>
      </c>
      <c r="L14" s="11"/>
    </row>
    <row r="15" spans="1:12" s="12" customFormat="1" ht="24.95" customHeight="1">
      <c r="A15" s="13">
        <f t="shared" si="0"/>
        <v>7</v>
      </c>
      <c r="B15" s="52" t="s">
        <v>180</v>
      </c>
      <c r="C15" s="52" t="s">
        <v>109</v>
      </c>
      <c r="D15" s="53" t="s">
        <v>59</v>
      </c>
      <c r="E15" s="53">
        <v>8</v>
      </c>
      <c r="F15" s="53"/>
      <c r="G15" s="10" t="s">
        <v>60</v>
      </c>
      <c r="H15" s="10"/>
      <c r="I15" s="53"/>
      <c r="J15" s="53"/>
      <c r="K15" s="54">
        <v>1</v>
      </c>
      <c r="L15" s="11"/>
    </row>
    <row r="16" spans="1:12" s="12" customFormat="1" ht="24.95" customHeight="1">
      <c r="A16" s="13">
        <f t="shared" si="0"/>
        <v>8</v>
      </c>
      <c r="B16" s="52" t="s">
        <v>181</v>
      </c>
      <c r="C16" s="52" t="s">
        <v>110</v>
      </c>
      <c r="D16" s="53" t="s">
        <v>59</v>
      </c>
      <c r="E16" s="53">
        <v>1</v>
      </c>
      <c r="F16" s="53"/>
      <c r="G16" s="10" t="s">
        <v>19</v>
      </c>
      <c r="H16" s="10"/>
      <c r="I16" s="53"/>
      <c r="J16" s="53"/>
      <c r="K16" s="54"/>
      <c r="L16" s="11"/>
    </row>
    <row r="17" spans="1:12" s="12" customFormat="1" ht="24.95" customHeight="1">
      <c r="A17" s="13">
        <f t="shared" si="0"/>
        <v>9</v>
      </c>
      <c r="B17" s="52" t="s">
        <v>182</v>
      </c>
      <c r="C17" s="52" t="s">
        <v>111</v>
      </c>
      <c r="D17" s="53" t="s">
        <v>63</v>
      </c>
      <c r="E17" s="57"/>
      <c r="F17" s="57"/>
      <c r="G17" s="10" t="s">
        <v>60</v>
      </c>
      <c r="H17" s="58"/>
      <c r="I17" s="53"/>
      <c r="J17" s="53"/>
      <c r="K17" s="54"/>
      <c r="L17" s="11"/>
    </row>
    <row r="18" spans="1:12" s="12" customFormat="1" ht="24.95" customHeight="1">
      <c r="A18" s="13">
        <f t="shared" si="0"/>
        <v>10</v>
      </c>
      <c r="B18" s="52" t="s">
        <v>183</v>
      </c>
      <c r="C18" s="52" t="s">
        <v>112</v>
      </c>
      <c r="D18" s="53" t="s">
        <v>63</v>
      </c>
      <c r="E18" s="53"/>
      <c r="F18" s="53"/>
      <c r="G18" s="10" t="s">
        <v>60</v>
      </c>
      <c r="H18" s="10"/>
      <c r="I18" s="57"/>
      <c r="J18" s="59"/>
      <c r="K18" s="60"/>
    </row>
    <row r="19" spans="1:12" s="12" customFormat="1" ht="24.95" customHeight="1">
      <c r="A19" s="13"/>
      <c r="B19" s="52"/>
      <c r="C19" s="52"/>
      <c r="D19" s="53"/>
      <c r="E19" s="53"/>
      <c r="F19" s="53"/>
      <c r="G19" s="10"/>
      <c r="H19" s="10"/>
      <c r="I19" s="53"/>
      <c r="J19" s="53"/>
      <c r="K19" s="60"/>
      <c r="L19" s="11"/>
    </row>
    <row r="20" spans="1:12" s="12" customFormat="1" ht="24.95" customHeight="1">
      <c r="A20" s="13" t="str">
        <f t="shared" si="0"/>
        <v/>
      </c>
      <c r="B20" s="53"/>
      <c r="C20" s="9"/>
      <c r="D20" s="53"/>
      <c r="E20" s="53"/>
      <c r="F20" s="53"/>
      <c r="G20" s="10"/>
      <c r="H20" s="10"/>
      <c r="I20" s="10"/>
      <c r="J20" s="53"/>
      <c r="K20" s="61"/>
      <c r="L20" s="11"/>
    </row>
    <row r="21" spans="1:12" s="12" customFormat="1" ht="24.95" customHeight="1">
      <c r="A21" s="13" t="str">
        <f t="shared" si="0"/>
        <v/>
      </c>
      <c r="B21" s="53"/>
      <c r="C21" s="9"/>
      <c r="D21" s="53"/>
      <c r="E21" s="53"/>
      <c r="F21" s="53"/>
      <c r="G21" s="10"/>
      <c r="H21" s="10"/>
      <c r="I21" s="53"/>
      <c r="J21" s="53"/>
      <c r="K21" s="61"/>
      <c r="L21" s="11"/>
    </row>
    <row r="22" spans="1:12" s="12" customFormat="1" ht="24.95" customHeight="1">
      <c r="A22" s="13" t="str">
        <f t="shared" si="0"/>
        <v/>
      </c>
      <c r="B22" s="53"/>
      <c r="C22" s="9"/>
      <c r="D22" s="53"/>
      <c r="E22" s="53"/>
      <c r="F22" s="53"/>
      <c r="G22" s="10"/>
      <c r="H22" s="10"/>
      <c r="I22" s="53"/>
      <c r="J22" s="53"/>
      <c r="K22" s="61"/>
      <c r="L22" s="11"/>
    </row>
    <row r="23" spans="1:12" s="12" customFormat="1" ht="24.95" customHeight="1">
      <c r="A23" s="13" t="str">
        <f t="shared" si="0"/>
        <v/>
      </c>
      <c r="B23" s="53"/>
      <c r="C23" s="9"/>
      <c r="D23" s="53"/>
      <c r="E23" s="53"/>
      <c r="F23" s="53"/>
      <c r="G23" s="10"/>
      <c r="H23" s="10"/>
      <c r="I23" s="53"/>
      <c r="J23" s="53"/>
      <c r="K23" s="61"/>
      <c r="L23" s="11"/>
    </row>
    <row r="24" spans="1:12" s="12" customFormat="1" ht="24.95" customHeight="1">
      <c r="A24" s="13" t="str">
        <f t="shared" si="0"/>
        <v/>
      </c>
      <c r="B24" s="53"/>
      <c r="C24" s="9"/>
      <c r="D24" s="53"/>
      <c r="E24" s="53"/>
      <c r="F24" s="53"/>
      <c r="G24" s="10"/>
      <c r="H24" s="10"/>
      <c r="I24" s="53"/>
      <c r="J24" s="53"/>
      <c r="K24" s="61"/>
      <c r="L24" s="11"/>
    </row>
  </sheetData>
  <phoneticPr fontId="5"/>
  <hyperlinks>
    <hyperlink ref="J1" location="目次!A1" display="テーブル一覧へ" xr:uid="{90C29312-479F-4D0F-927F-622BD38AB12E}"/>
    <hyperlink ref="K14" r:id="rId1" xr:uid="{F2F5532E-1EF0-493F-8117-66D9EAB08FE2}"/>
  </hyperlinks>
  <pageMargins left="0.39370078740157483" right="0.39370078740157483" top="0.74803149606299213" bottom="0.39370078740157483" header="0.31496062992125984" footer="0.19685039370078741"/>
  <pageSetup paperSize="9" orientation="landscape" r:id="rId2"/>
  <headerFooter>
    <oddHeader>&amp;L&amp;9&amp;F&amp;R&amp;9&amp;A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4E5AB-9420-40B6-987C-6039ADF5C680}">
  <sheetPr codeName="Sheet25"/>
  <dimension ref="A1:T21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M17" sqref="M17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3" width="4.625" style="1" customWidth="1"/>
    <col min="14" max="16" width="7.375" style="1" customWidth="1"/>
    <col min="17" max="19" width="4.25" style="1" customWidth="1"/>
    <col min="20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20">
      <c r="A1" s="1" t="s">
        <v>0</v>
      </c>
      <c r="J1" s="18" t="s">
        <v>1</v>
      </c>
    </row>
    <row r="2" spans="1:20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20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20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20" ht="18" customHeight="1">
      <c r="B5" s="34" t="str">
        <f>TOOL!C6</f>
        <v>商品大分類情報</v>
      </c>
      <c r="C5" s="79" t="str">
        <f>TOOL!D6</f>
        <v>category_b_info</v>
      </c>
      <c r="D5" s="35"/>
      <c r="E5" s="36"/>
      <c r="F5" s="37"/>
      <c r="G5" s="29"/>
      <c r="H5" s="38"/>
      <c r="I5" s="38"/>
      <c r="J5" s="38"/>
    </row>
    <row r="6" spans="1:20" ht="4.1500000000000004" customHeight="1"/>
    <row r="7" spans="1:20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2"/>
    </row>
    <row r="8" spans="1:20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K8" s="12"/>
      <c r="L8" s="39"/>
    </row>
    <row r="9" spans="1:20" s="12" customFormat="1" ht="24.95" customHeight="1">
      <c r="A9" s="13">
        <f>IF(B9="","",ROW()-8)</f>
        <v>1</v>
      </c>
      <c r="B9" s="52" t="s">
        <v>244</v>
      </c>
      <c r="C9" s="77" t="s">
        <v>251</v>
      </c>
      <c r="D9" s="53" t="s">
        <v>97</v>
      </c>
      <c r="E9" s="53">
        <v>3</v>
      </c>
      <c r="F9" s="53"/>
      <c r="G9" s="10" t="s">
        <v>66</v>
      </c>
      <c r="H9" s="10" t="s">
        <v>20</v>
      </c>
      <c r="I9" s="53"/>
      <c r="J9" s="53"/>
      <c r="K9" s="98" t="s">
        <v>86</v>
      </c>
      <c r="L9" s="98" t="s">
        <v>98</v>
      </c>
      <c r="M9" s="98" t="s">
        <v>99</v>
      </c>
      <c r="N9" s="98" t="s">
        <v>258</v>
      </c>
      <c r="O9" s="98" t="s">
        <v>259</v>
      </c>
      <c r="P9" s="98" t="s">
        <v>260</v>
      </c>
      <c r="Q9" s="98" t="s">
        <v>268</v>
      </c>
      <c r="R9" s="98" t="s">
        <v>269</v>
      </c>
      <c r="S9" s="98" t="s">
        <v>270</v>
      </c>
    </row>
    <row r="10" spans="1:20" s="12" customFormat="1" ht="24.95" customHeight="1">
      <c r="A10" s="13">
        <f t="shared" ref="A10:A15" si="0">IF(B10="","",ROW()-8)</f>
        <v>2</v>
      </c>
      <c r="B10" s="52" t="s">
        <v>245</v>
      </c>
      <c r="C10" s="77" t="s">
        <v>252</v>
      </c>
      <c r="D10" s="53" t="s">
        <v>96</v>
      </c>
      <c r="E10" s="53">
        <v>60</v>
      </c>
      <c r="F10" s="53"/>
      <c r="G10" s="10" t="s">
        <v>66</v>
      </c>
      <c r="H10" s="10"/>
      <c r="I10" s="53"/>
      <c r="J10" s="53"/>
      <c r="K10" s="98" t="s">
        <v>255</v>
      </c>
      <c r="L10" s="98" t="s">
        <v>256</v>
      </c>
      <c r="M10" s="98" t="s">
        <v>257</v>
      </c>
      <c r="N10" s="98" t="s">
        <v>261</v>
      </c>
      <c r="O10" s="98" t="s">
        <v>262</v>
      </c>
      <c r="P10" s="98" t="s">
        <v>263</v>
      </c>
      <c r="Q10" s="98" t="s">
        <v>271</v>
      </c>
      <c r="R10" s="98" t="s">
        <v>272</v>
      </c>
      <c r="S10" s="98" t="s">
        <v>273</v>
      </c>
    </row>
    <row r="11" spans="1:20" s="12" customFormat="1" ht="31.5" customHeight="1">
      <c r="A11" s="13">
        <f t="shared" si="0"/>
        <v>3</v>
      </c>
      <c r="B11" s="52" t="s">
        <v>223</v>
      </c>
      <c r="C11" s="96" t="s">
        <v>154</v>
      </c>
      <c r="D11" s="53" t="s">
        <v>97</v>
      </c>
      <c r="E11" s="53">
        <v>1</v>
      </c>
      <c r="F11" s="53"/>
      <c r="G11" s="10" t="s">
        <v>66</v>
      </c>
      <c r="H11" s="10"/>
      <c r="I11" s="53"/>
      <c r="J11" s="80" t="s">
        <v>240</v>
      </c>
      <c r="K11" s="98" t="s">
        <v>156</v>
      </c>
      <c r="L11" s="99" t="s">
        <v>156</v>
      </c>
      <c r="M11" s="98" t="s">
        <v>156</v>
      </c>
      <c r="N11" s="98" t="s">
        <v>265</v>
      </c>
      <c r="O11" s="98" t="s">
        <v>265</v>
      </c>
      <c r="P11" s="98" t="s">
        <v>265</v>
      </c>
      <c r="Q11" s="98" t="s">
        <v>274</v>
      </c>
      <c r="R11" s="98" t="s">
        <v>274</v>
      </c>
      <c r="S11" s="98" t="s">
        <v>274</v>
      </c>
    </row>
    <row r="12" spans="1:20" s="12" customFormat="1" ht="31.5" customHeight="1">
      <c r="A12" s="13">
        <f t="shared" si="0"/>
        <v>4</v>
      </c>
      <c r="B12" s="52" t="s">
        <v>219</v>
      </c>
      <c r="C12" s="96" t="s">
        <v>249</v>
      </c>
      <c r="D12" s="53" t="s">
        <v>250</v>
      </c>
      <c r="E12" s="53">
        <v>2</v>
      </c>
      <c r="F12" s="53"/>
      <c r="G12" s="10" t="s">
        <v>66</v>
      </c>
      <c r="H12" s="10"/>
      <c r="I12" s="53"/>
      <c r="J12" s="80"/>
      <c r="K12" s="98" t="s">
        <v>156</v>
      </c>
      <c r="L12" s="99" t="s">
        <v>157</v>
      </c>
      <c r="M12" s="98" t="s">
        <v>158</v>
      </c>
      <c r="N12" s="98" t="s">
        <v>266</v>
      </c>
      <c r="O12" s="98" t="s">
        <v>264</v>
      </c>
      <c r="P12" s="98" t="s">
        <v>267</v>
      </c>
      <c r="Q12" s="98" t="s">
        <v>266</v>
      </c>
      <c r="R12" s="98" t="s">
        <v>266</v>
      </c>
      <c r="S12" s="98" t="s">
        <v>266</v>
      </c>
      <c r="T12" s="97" t="s">
        <v>275</v>
      </c>
    </row>
    <row r="13" spans="1:20" s="12" customFormat="1" ht="24.95" customHeight="1">
      <c r="A13" s="13">
        <f t="shared" si="0"/>
        <v>5</v>
      </c>
      <c r="B13" s="52" t="s">
        <v>220</v>
      </c>
      <c r="C13" s="96" t="s">
        <v>289</v>
      </c>
      <c r="D13" s="53" t="s">
        <v>96</v>
      </c>
      <c r="E13" s="53">
        <v>255</v>
      </c>
      <c r="F13" s="53"/>
      <c r="G13" s="10" t="s">
        <v>66</v>
      </c>
      <c r="H13" s="10"/>
      <c r="I13" s="53"/>
      <c r="J13" s="53"/>
      <c r="K13" s="98" t="s">
        <v>100</v>
      </c>
      <c r="L13" s="99" t="s">
        <v>101</v>
      </c>
      <c r="M13" s="98" t="s">
        <v>102</v>
      </c>
      <c r="N13" s="98" t="s">
        <v>102</v>
      </c>
      <c r="O13" s="98" t="s">
        <v>102</v>
      </c>
      <c r="P13" s="98" t="s">
        <v>102</v>
      </c>
      <c r="Q13" s="98" t="s">
        <v>102</v>
      </c>
      <c r="R13" s="98" t="s">
        <v>102</v>
      </c>
      <c r="S13" s="98" t="s">
        <v>102</v>
      </c>
      <c r="T13" s="97" t="s">
        <v>275</v>
      </c>
    </row>
    <row r="14" spans="1:20" s="12" customFormat="1" ht="24.95" customHeight="1">
      <c r="A14" s="13">
        <f t="shared" si="0"/>
        <v>6</v>
      </c>
      <c r="B14" s="52" t="s">
        <v>221</v>
      </c>
      <c r="C14" s="96" t="s">
        <v>155</v>
      </c>
      <c r="D14" s="53" t="s">
        <v>59</v>
      </c>
      <c r="E14" s="53">
        <v>1</v>
      </c>
      <c r="F14" s="53"/>
      <c r="G14" s="10" t="s">
        <v>19</v>
      </c>
      <c r="H14" s="10"/>
      <c r="I14" s="53"/>
      <c r="J14" s="53" t="s">
        <v>222</v>
      </c>
      <c r="K14" s="98" t="s">
        <v>95</v>
      </c>
      <c r="L14" s="99" t="s">
        <v>95</v>
      </c>
      <c r="M14" s="98" t="s">
        <v>95</v>
      </c>
      <c r="N14" s="98" t="s">
        <v>95</v>
      </c>
      <c r="O14" s="98" t="s">
        <v>95</v>
      </c>
      <c r="P14" s="98" t="s">
        <v>95</v>
      </c>
      <c r="Q14" s="98" t="s">
        <v>95</v>
      </c>
      <c r="R14" s="98" t="s">
        <v>95</v>
      </c>
      <c r="S14" s="98" t="s">
        <v>95</v>
      </c>
    </row>
    <row r="15" spans="1:20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L15" s="11"/>
    </row>
    <row r="16" spans="1:20" s="12" customFormat="1" ht="24.95" customHeight="1">
      <c r="A16" s="13" t="str">
        <f t="shared" ref="A16:A21" si="1">IF(B16="","",ROW()-8)</f>
        <v/>
      </c>
      <c r="B16" s="52"/>
      <c r="C16" s="52"/>
      <c r="D16" s="53"/>
      <c r="E16" s="57"/>
      <c r="F16" s="57"/>
      <c r="G16" s="10"/>
      <c r="H16" s="58"/>
      <c r="I16" s="57"/>
      <c r="J16" s="59"/>
    </row>
    <row r="17" spans="1:12" s="12" customFormat="1" ht="24.95" customHeight="1">
      <c r="A17" s="13" t="str">
        <f t="shared" si="1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1"/>
        <v/>
      </c>
      <c r="B18" s="53"/>
      <c r="C18" s="9"/>
      <c r="D18" s="53"/>
      <c r="E18" s="53"/>
      <c r="F18" s="53"/>
      <c r="G18" s="10"/>
      <c r="H18" s="10"/>
      <c r="I18" s="10"/>
      <c r="J18" s="53"/>
      <c r="L18" s="11"/>
    </row>
    <row r="19" spans="1:12" s="12" customFormat="1" ht="24.95" customHeight="1">
      <c r="A19" s="13" t="str">
        <f t="shared" si="1"/>
        <v/>
      </c>
      <c r="B19" s="53"/>
      <c r="C19" s="9"/>
      <c r="D19" s="53"/>
      <c r="E19" s="53"/>
      <c r="F19" s="53"/>
      <c r="G19" s="10"/>
      <c r="H19" s="10"/>
      <c r="I19" s="53"/>
      <c r="J19" s="53"/>
      <c r="L19" s="11"/>
    </row>
    <row r="20" spans="1:12" s="12" customFormat="1" ht="24.95" customHeight="1">
      <c r="A20" s="13" t="str">
        <f t="shared" si="1"/>
        <v/>
      </c>
      <c r="B20" s="53"/>
      <c r="C20" s="9"/>
      <c r="D20" s="53"/>
      <c r="E20" s="53"/>
      <c r="F20" s="53"/>
      <c r="G20" s="10"/>
      <c r="H20" s="10"/>
      <c r="I20" s="53"/>
      <c r="J20" s="53"/>
      <c r="K20" s="61"/>
      <c r="L20" s="11"/>
    </row>
    <row r="21" spans="1:12" s="12" customFormat="1" ht="24.95" customHeight="1">
      <c r="A21" s="13" t="str">
        <f t="shared" si="1"/>
        <v/>
      </c>
      <c r="B21" s="53"/>
      <c r="C21" s="9"/>
      <c r="D21" s="53"/>
      <c r="E21" s="53"/>
      <c r="F21" s="53"/>
      <c r="G21" s="10"/>
      <c r="H21" s="10"/>
      <c r="I21" s="53"/>
      <c r="J21" s="53"/>
      <c r="K21" s="61"/>
      <c r="L21" s="11"/>
    </row>
  </sheetData>
  <phoneticPr fontId="4"/>
  <hyperlinks>
    <hyperlink ref="J1" location="目次!A1" display="テーブル一覧へ" xr:uid="{B06BC360-8BA1-4C54-88F3-51ED006AAF85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FE2EA-87B0-4CCB-9CBE-1D778424F14B}">
  <sheetPr codeName="Sheet27"/>
  <dimension ref="A1:S21"/>
  <sheetViews>
    <sheetView tabSelected="1" view="pageBreakPreview" zoomScaleNormal="100" zoomScaleSheetLayoutView="100" workbookViewId="0">
      <pane ySplit="7" topLeftCell="A8" activePane="bottomLeft" state="frozen"/>
      <selection activeCell="O18" sqref="O18"/>
      <selection pane="bottomLeft" activeCell="M16" sqref="M16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6.875" style="1" customWidth="1"/>
    <col min="12" max="12" width="6.75" style="1" customWidth="1"/>
    <col min="13" max="15" width="6.625" style="1" customWidth="1"/>
    <col min="16" max="16" width="7.375" style="1" bestFit="1" customWidth="1"/>
    <col min="17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9">
      <c r="A1" s="1" t="s">
        <v>0</v>
      </c>
      <c r="J1" s="18" t="s">
        <v>1</v>
      </c>
    </row>
    <row r="2" spans="1:19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9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9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9" ht="18" customHeight="1">
      <c r="B5" s="34" t="str">
        <f>TOOL!C7</f>
        <v>商品中分類情報</v>
      </c>
      <c r="C5" s="79" t="str">
        <f>TOOL!D7</f>
        <v>category_m_info</v>
      </c>
      <c r="D5" s="35"/>
      <c r="E5" s="36"/>
      <c r="F5" s="37"/>
      <c r="G5" s="29"/>
      <c r="H5" s="38"/>
      <c r="I5" s="38"/>
      <c r="J5" s="38"/>
    </row>
    <row r="6" spans="1:19" ht="4.1500000000000004" customHeight="1"/>
    <row r="7" spans="1:19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9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K8" s="39"/>
      <c r="L8" s="39"/>
      <c r="M8" s="39"/>
      <c r="N8" s="39"/>
      <c r="O8" s="39"/>
      <c r="P8" s="39"/>
    </row>
    <row r="9" spans="1:19" s="12" customFormat="1" ht="24.95" customHeight="1">
      <c r="A9" s="13">
        <f>IF(B9="","",ROW()-8)</f>
        <v>1</v>
      </c>
      <c r="B9" s="52" t="s">
        <v>244</v>
      </c>
      <c r="C9" s="96" t="s">
        <v>251</v>
      </c>
      <c r="D9" s="53" t="s">
        <v>97</v>
      </c>
      <c r="E9" s="53">
        <v>3</v>
      </c>
      <c r="F9" s="53"/>
      <c r="G9" s="10" t="s">
        <v>66</v>
      </c>
      <c r="H9" s="10" t="s">
        <v>20</v>
      </c>
      <c r="I9" s="53"/>
      <c r="J9" s="53"/>
      <c r="K9" s="98" t="s">
        <v>268</v>
      </c>
      <c r="L9" s="98" t="s">
        <v>268</v>
      </c>
      <c r="M9" s="98" t="s">
        <v>268</v>
      </c>
      <c r="N9" s="98" t="s">
        <v>269</v>
      </c>
      <c r="O9" s="98" t="s">
        <v>269</v>
      </c>
      <c r="P9" s="98" t="s">
        <v>270</v>
      </c>
      <c r="Q9" s="66"/>
      <c r="R9" s="66"/>
      <c r="S9" s="66"/>
    </row>
    <row r="10" spans="1:19" s="12" customFormat="1" ht="24.95" customHeight="1">
      <c r="A10" s="13">
        <f>IF(B10="","",ROW()-8)</f>
        <v>2</v>
      </c>
      <c r="B10" s="52" t="s">
        <v>246</v>
      </c>
      <c r="C10" s="96" t="s">
        <v>253</v>
      </c>
      <c r="D10" s="53" t="s">
        <v>97</v>
      </c>
      <c r="E10" s="53">
        <v>4</v>
      </c>
      <c r="F10" s="53"/>
      <c r="G10" s="10" t="s">
        <v>66</v>
      </c>
      <c r="H10" s="10" t="s">
        <v>20</v>
      </c>
      <c r="I10" s="53"/>
      <c r="J10" s="53"/>
      <c r="K10" s="98" t="s">
        <v>276</v>
      </c>
      <c r="L10" s="98" t="s">
        <v>277</v>
      </c>
      <c r="M10" s="98" t="s">
        <v>278</v>
      </c>
      <c r="N10" s="98" t="s">
        <v>276</v>
      </c>
      <c r="O10" s="98" t="s">
        <v>277</v>
      </c>
      <c r="P10" s="98" t="s">
        <v>276</v>
      </c>
      <c r="Q10" s="66"/>
      <c r="R10" s="66"/>
      <c r="S10" s="66"/>
    </row>
    <row r="11" spans="1:19" s="12" customFormat="1" ht="24.95" customHeight="1">
      <c r="A11" s="13">
        <f t="shared" ref="A11:A21" si="0">IF(B11="","",ROW()-8)</f>
        <v>3</v>
      </c>
      <c r="B11" s="52" t="s">
        <v>247</v>
      </c>
      <c r="C11" s="96" t="s">
        <v>254</v>
      </c>
      <c r="D11" s="53" t="s">
        <v>96</v>
      </c>
      <c r="E11" s="53">
        <v>60</v>
      </c>
      <c r="F11" s="53"/>
      <c r="G11" s="10" t="s">
        <v>66</v>
      </c>
      <c r="H11" s="10"/>
      <c r="I11" s="53"/>
      <c r="J11" s="53"/>
      <c r="K11" s="99" t="s">
        <v>279</v>
      </c>
      <c r="L11" s="99" t="s">
        <v>280</v>
      </c>
      <c r="M11" s="99" t="s">
        <v>281</v>
      </c>
      <c r="N11" s="99" t="s">
        <v>282</v>
      </c>
      <c r="O11" s="99" t="s">
        <v>283</v>
      </c>
      <c r="P11" s="99" t="s">
        <v>284</v>
      </c>
      <c r="Q11" s="66"/>
      <c r="R11" s="66"/>
      <c r="S11" s="66"/>
    </row>
    <row r="12" spans="1:19" s="12" customFormat="1" ht="31.5" customHeight="1">
      <c r="A12" s="13">
        <f t="shared" si="0"/>
        <v>4</v>
      </c>
      <c r="B12" s="52" t="s">
        <v>219</v>
      </c>
      <c r="C12" s="96" t="s">
        <v>249</v>
      </c>
      <c r="D12" s="53" t="s">
        <v>32</v>
      </c>
      <c r="E12" s="53">
        <v>2</v>
      </c>
      <c r="F12" s="53"/>
      <c r="G12" s="10" t="s">
        <v>66</v>
      </c>
      <c r="H12" s="10"/>
      <c r="I12" s="53"/>
      <c r="J12" s="80"/>
      <c r="K12" s="99" t="s">
        <v>156</v>
      </c>
      <c r="L12" s="99" t="s">
        <v>264</v>
      </c>
      <c r="M12" s="99" t="s">
        <v>267</v>
      </c>
      <c r="N12" s="99" t="s">
        <v>156</v>
      </c>
      <c r="O12" s="99" t="s">
        <v>264</v>
      </c>
      <c r="P12" s="99" t="s">
        <v>267</v>
      </c>
      <c r="Q12" s="66"/>
      <c r="R12" s="66"/>
      <c r="S12" s="66"/>
    </row>
    <row r="13" spans="1:19" s="12" customFormat="1" ht="24.95" customHeight="1">
      <c r="A13" s="13">
        <f t="shared" si="0"/>
        <v>5</v>
      </c>
      <c r="B13" s="52" t="s">
        <v>220</v>
      </c>
      <c r="C13" s="96" t="s">
        <v>289</v>
      </c>
      <c r="D13" s="53" t="s">
        <v>96</v>
      </c>
      <c r="E13" s="53">
        <v>255</v>
      </c>
      <c r="F13" s="53"/>
      <c r="G13" s="10" t="s">
        <v>66</v>
      </c>
      <c r="H13" s="10"/>
      <c r="I13" s="53"/>
      <c r="J13" s="53"/>
      <c r="K13" s="98" t="s">
        <v>102</v>
      </c>
      <c r="L13" s="98" t="s">
        <v>102</v>
      </c>
      <c r="M13" s="98" t="s">
        <v>102</v>
      </c>
      <c r="N13" s="98" t="s">
        <v>102</v>
      </c>
      <c r="O13" s="98" t="s">
        <v>102</v>
      </c>
      <c r="P13" s="98" t="s">
        <v>102</v>
      </c>
      <c r="Q13" s="97" t="s">
        <v>275</v>
      </c>
      <c r="R13" s="66"/>
      <c r="S13" s="66"/>
    </row>
    <row r="14" spans="1:19" s="12" customFormat="1" ht="24.95" customHeight="1">
      <c r="A14" s="13">
        <f t="shared" si="0"/>
        <v>6</v>
      </c>
      <c r="B14" s="52" t="s">
        <v>221</v>
      </c>
      <c r="C14" s="96" t="s">
        <v>155</v>
      </c>
      <c r="D14" s="53" t="s">
        <v>59</v>
      </c>
      <c r="E14" s="53">
        <v>1</v>
      </c>
      <c r="F14" s="53"/>
      <c r="G14" s="10" t="s">
        <v>19</v>
      </c>
      <c r="H14" s="10"/>
      <c r="I14" s="53"/>
      <c r="J14" s="53" t="s">
        <v>222</v>
      </c>
      <c r="K14" s="99" t="s">
        <v>95</v>
      </c>
      <c r="L14" s="99" t="s">
        <v>95</v>
      </c>
      <c r="M14" s="99" t="s">
        <v>95</v>
      </c>
      <c r="N14" s="99" t="s">
        <v>95</v>
      </c>
      <c r="O14" s="99" t="s">
        <v>95</v>
      </c>
      <c r="P14" s="99" t="s">
        <v>95</v>
      </c>
      <c r="Q14" s="66"/>
      <c r="R14" s="66"/>
      <c r="S14" s="66"/>
    </row>
    <row r="15" spans="1:19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K15" s="11"/>
      <c r="L15" s="11"/>
      <c r="M15" s="11"/>
      <c r="N15" s="11"/>
      <c r="O15" s="11"/>
      <c r="P15" s="11"/>
    </row>
    <row r="16" spans="1:19" s="12" customFormat="1" ht="24.95" customHeight="1">
      <c r="A16" s="13" t="str">
        <f t="shared" si="0"/>
        <v/>
      </c>
      <c r="B16" s="52"/>
      <c r="C16" s="52"/>
      <c r="D16" s="53"/>
      <c r="E16" s="57"/>
      <c r="F16" s="57"/>
      <c r="G16" s="10"/>
      <c r="H16" s="58"/>
      <c r="I16" s="57"/>
      <c r="J16" s="59"/>
    </row>
    <row r="17" spans="1:16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K17" s="11"/>
      <c r="L17" s="11"/>
      <c r="M17" s="11"/>
      <c r="N17" s="11"/>
      <c r="O17" s="11"/>
      <c r="P17" s="11"/>
    </row>
    <row r="18" spans="1:16" s="12" customFormat="1" ht="24.95" customHeight="1">
      <c r="A18" s="13" t="str">
        <f t="shared" si="0"/>
        <v/>
      </c>
      <c r="B18" s="53"/>
      <c r="C18" s="9"/>
      <c r="D18" s="53"/>
      <c r="E18" s="53"/>
      <c r="F18" s="53"/>
      <c r="G18" s="10"/>
      <c r="H18" s="10"/>
      <c r="I18" s="10"/>
      <c r="J18" s="53"/>
      <c r="K18" s="11"/>
      <c r="L18" s="11"/>
      <c r="M18" s="11"/>
      <c r="N18" s="11"/>
      <c r="O18" s="11"/>
      <c r="P18" s="11"/>
    </row>
    <row r="19" spans="1:16" s="12" customFormat="1" ht="24.95" customHeight="1">
      <c r="A19" s="13" t="str">
        <f t="shared" si="0"/>
        <v/>
      </c>
      <c r="B19" s="53"/>
      <c r="C19" s="9"/>
      <c r="D19" s="53"/>
      <c r="E19" s="53"/>
      <c r="F19" s="53"/>
      <c r="G19" s="10"/>
      <c r="H19" s="10"/>
      <c r="I19" s="53"/>
      <c r="J19" s="53"/>
      <c r="K19" s="11"/>
      <c r="L19" s="11"/>
      <c r="M19" s="11"/>
      <c r="N19" s="11"/>
      <c r="O19" s="11"/>
      <c r="P19" s="11"/>
    </row>
    <row r="20" spans="1:16" s="12" customFormat="1" ht="24.95" customHeight="1">
      <c r="A20" s="13" t="str">
        <f t="shared" si="0"/>
        <v/>
      </c>
      <c r="B20" s="53"/>
      <c r="C20" s="9"/>
      <c r="D20" s="53"/>
      <c r="E20" s="53"/>
      <c r="F20" s="53"/>
      <c r="G20" s="10"/>
      <c r="H20" s="10"/>
      <c r="I20" s="53"/>
      <c r="J20" s="53"/>
      <c r="K20" s="11"/>
      <c r="L20" s="11"/>
      <c r="M20" s="11"/>
      <c r="N20" s="11"/>
      <c r="O20" s="11"/>
      <c r="P20" s="11"/>
    </row>
    <row r="21" spans="1:16" s="12" customFormat="1" ht="24.95" customHeight="1">
      <c r="A21" s="13" t="str">
        <f t="shared" si="0"/>
        <v/>
      </c>
      <c r="B21" s="53"/>
      <c r="C21" s="9"/>
      <c r="D21" s="53"/>
      <c r="E21" s="53"/>
      <c r="F21" s="53"/>
      <c r="G21" s="10"/>
      <c r="H21" s="10"/>
      <c r="I21" s="53"/>
      <c r="J21" s="53"/>
      <c r="K21" s="11"/>
      <c r="L21" s="11"/>
      <c r="M21" s="11"/>
      <c r="N21" s="11"/>
      <c r="O21" s="11"/>
      <c r="P21" s="11"/>
    </row>
  </sheetData>
  <phoneticPr fontId="4"/>
  <hyperlinks>
    <hyperlink ref="J1" location="目次!A1" display="テーブル一覧へ" xr:uid="{E4CE93C6-C463-40E0-8D97-B4F3205AA77B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A435B-99FD-4F7E-8287-0E6965B2C664}">
  <sheetPr codeName="Sheet22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C15" sqref="C15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TOOL!C8</f>
        <v>商品情報</v>
      </c>
      <c r="C5" s="79" t="str">
        <f>TOOL!D8</f>
        <v>goods_info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 t="shared" ref="A9" si="0">IF(B9="","",ROW()-8)</f>
        <v>1</v>
      </c>
      <c r="B9" s="52" t="s">
        <v>188</v>
      </c>
      <c r="C9" s="52" t="s">
        <v>113</v>
      </c>
      <c r="D9" s="53" t="s">
        <v>59</v>
      </c>
      <c r="E9" s="53">
        <v>10</v>
      </c>
      <c r="F9" s="53"/>
      <c r="G9" s="10" t="s">
        <v>66</v>
      </c>
      <c r="H9" s="10" t="s">
        <v>20</v>
      </c>
      <c r="I9" s="53"/>
      <c r="J9" s="53"/>
      <c r="L9" s="11"/>
    </row>
    <row r="10" spans="1:12" s="65" customFormat="1" ht="24.95" customHeight="1">
      <c r="A10" s="58">
        <f t="shared" ref="A10:A24" si="1">IF(B10="","",ROW()-8)</f>
        <v>2</v>
      </c>
      <c r="B10" s="52" t="s">
        <v>194</v>
      </c>
      <c r="C10" s="52" t="s">
        <v>114</v>
      </c>
      <c r="D10" s="53" t="s">
        <v>58</v>
      </c>
      <c r="E10" s="53">
        <v>60</v>
      </c>
      <c r="F10" s="53"/>
      <c r="G10" s="10" t="s">
        <v>66</v>
      </c>
      <c r="H10" s="10"/>
      <c r="I10" s="53"/>
      <c r="J10" s="53"/>
      <c r="L10" s="11"/>
    </row>
    <row r="11" spans="1:12" s="12" customFormat="1" ht="24.95" customHeight="1">
      <c r="A11" s="13">
        <f>IF(B11="","",ROW()-8)</f>
        <v>3</v>
      </c>
      <c r="B11" s="52" t="s">
        <v>166</v>
      </c>
      <c r="C11" s="52" t="s">
        <v>115</v>
      </c>
      <c r="D11" s="53" t="s">
        <v>59</v>
      </c>
      <c r="E11" s="53">
        <v>2</v>
      </c>
      <c r="F11" s="53"/>
      <c r="G11" s="10" t="s">
        <v>19</v>
      </c>
      <c r="H11" s="10"/>
      <c r="I11" s="53"/>
      <c r="J11" s="53"/>
      <c r="L11" s="11"/>
    </row>
    <row r="12" spans="1:12" s="12" customFormat="1" ht="24.95" customHeight="1">
      <c r="A12" s="13">
        <f>IF(B12="","",ROW()-8)</f>
        <v>4</v>
      </c>
      <c r="B12" s="52" t="s">
        <v>202</v>
      </c>
      <c r="C12" s="52" t="s">
        <v>287</v>
      </c>
      <c r="D12" s="53" t="s">
        <v>59</v>
      </c>
      <c r="E12" s="53">
        <v>10</v>
      </c>
      <c r="F12" s="53"/>
      <c r="G12" s="10" t="s">
        <v>19</v>
      </c>
      <c r="H12" s="10"/>
      <c r="I12" s="53"/>
      <c r="J12" s="53"/>
      <c r="L12" s="11"/>
    </row>
    <row r="13" spans="1:12" s="12" customFormat="1" ht="24.95" customHeight="1">
      <c r="A13" s="13">
        <f>IF(B13="","",ROW()-8)</f>
        <v>5</v>
      </c>
      <c r="B13" s="52" t="s">
        <v>203</v>
      </c>
      <c r="C13" s="52" t="s">
        <v>288</v>
      </c>
      <c r="D13" s="53" t="s">
        <v>58</v>
      </c>
      <c r="E13" s="53">
        <v>200</v>
      </c>
      <c r="F13" s="53"/>
      <c r="G13" s="10" t="s">
        <v>19</v>
      </c>
      <c r="H13" s="10"/>
      <c r="I13" s="53"/>
      <c r="J13" s="53"/>
      <c r="L13" s="11"/>
    </row>
    <row r="14" spans="1:12" s="12" customFormat="1" ht="24.95" customHeight="1">
      <c r="A14" s="13">
        <f>IF(B14="","",ROW()-8)</f>
        <v>6</v>
      </c>
      <c r="B14" s="52" t="s">
        <v>167</v>
      </c>
      <c r="C14" s="52" t="s">
        <v>116</v>
      </c>
      <c r="D14" s="53" t="s">
        <v>58</v>
      </c>
      <c r="E14" s="53">
        <v>60</v>
      </c>
      <c r="F14" s="53"/>
      <c r="G14" s="10" t="s">
        <v>84</v>
      </c>
      <c r="H14" s="10"/>
      <c r="I14" s="53"/>
      <c r="J14" s="53"/>
      <c r="L14" s="11"/>
    </row>
    <row r="15" spans="1:12" s="12" customFormat="1" ht="24.95" customHeight="1">
      <c r="A15" s="13">
        <f t="shared" ref="A15" si="2">IF(B15="","",ROW()-8)</f>
        <v>7</v>
      </c>
      <c r="B15" s="52" t="s">
        <v>196</v>
      </c>
      <c r="C15" s="52" t="s">
        <v>117</v>
      </c>
      <c r="D15" s="53" t="s">
        <v>58</v>
      </c>
      <c r="E15" s="53">
        <v>1000</v>
      </c>
      <c r="F15" s="53"/>
      <c r="G15" s="10" t="s">
        <v>84</v>
      </c>
      <c r="H15" s="10"/>
      <c r="I15" s="53"/>
      <c r="J15" s="53"/>
      <c r="L15" s="11"/>
    </row>
    <row r="16" spans="1:12" s="12" customFormat="1" ht="24.95" customHeight="1">
      <c r="A16" s="13">
        <f t="shared" ref="A16" si="3">IF(B16="","",ROW()-8)</f>
        <v>8</v>
      </c>
      <c r="B16" s="52" t="s">
        <v>189</v>
      </c>
      <c r="C16" s="52" t="s">
        <v>118</v>
      </c>
      <c r="D16" s="53" t="s">
        <v>58</v>
      </c>
      <c r="E16" s="53">
        <v>1000</v>
      </c>
      <c r="F16" s="53"/>
      <c r="G16" s="10" t="s">
        <v>19</v>
      </c>
      <c r="H16" s="10"/>
      <c r="I16" s="53"/>
      <c r="J16" s="53"/>
      <c r="L16" s="11"/>
    </row>
    <row r="17" spans="1:12" s="12" customFormat="1" ht="24.95" customHeight="1">
      <c r="A17" s="13">
        <f>IF(B17="","",ROW()-8)</f>
        <v>9</v>
      </c>
      <c r="B17" s="52" t="s">
        <v>197</v>
      </c>
      <c r="C17" s="52" t="s">
        <v>119</v>
      </c>
      <c r="D17" s="53" t="s">
        <v>58</v>
      </c>
      <c r="E17" s="53">
        <v>1000</v>
      </c>
      <c r="F17" s="53"/>
      <c r="G17" s="10" t="s">
        <v>19</v>
      </c>
      <c r="H17" s="10"/>
      <c r="I17" s="53"/>
      <c r="J17" s="53"/>
      <c r="L17" s="11"/>
    </row>
    <row r="18" spans="1:12" s="12" customFormat="1" ht="24.95" customHeight="1">
      <c r="A18" s="13">
        <f t="shared" si="1"/>
        <v>10</v>
      </c>
      <c r="B18" s="52" t="s">
        <v>190</v>
      </c>
      <c r="C18" s="52" t="s">
        <v>120</v>
      </c>
      <c r="D18" s="53" t="s">
        <v>121</v>
      </c>
      <c r="E18" s="53"/>
      <c r="F18" s="53"/>
      <c r="G18" s="10" t="s">
        <v>19</v>
      </c>
      <c r="H18" s="10"/>
      <c r="I18" s="53"/>
      <c r="J18" s="53"/>
      <c r="L18" s="11"/>
    </row>
    <row r="19" spans="1:12" s="12" customFormat="1" ht="24.95" customHeight="1">
      <c r="A19" s="13">
        <f t="shared" si="1"/>
        <v>11</v>
      </c>
      <c r="B19" s="52" t="s">
        <v>198</v>
      </c>
      <c r="C19" s="52" t="s">
        <v>159</v>
      </c>
      <c r="D19" s="53" t="s">
        <v>121</v>
      </c>
      <c r="E19" s="53"/>
      <c r="F19" s="53"/>
      <c r="G19" s="10" t="s">
        <v>19</v>
      </c>
      <c r="H19" s="10"/>
      <c r="I19" s="53"/>
      <c r="J19" s="53"/>
      <c r="L19" s="11"/>
    </row>
    <row r="20" spans="1:12" s="12" customFormat="1" ht="24.95" customHeight="1">
      <c r="A20" s="13">
        <f t="shared" si="1"/>
        <v>12</v>
      </c>
      <c r="B20" s="52" t="s">
        <v>199</v>
      </c>
      <c r="C20" s="52" t="s">
        <v>123</v>
      </c>
      <c r="D20" s="53" t="s">
        <v>124</v>
      </c>
      <c r="E20" s="53">
        <v>10</v>
      </c>
      <c r="F20" s="53">
        <v>2</v>
      </c>
      <c r="G20" s="10" t="s">
        <v>19</v>
      </c>
      <c r="H20" s="10"/>
      <c r="I20" s="53"/>
      <c r="J20" s="53"/>
      <c r="L20" s="11"/>
    </row>
    <row r="21" spans="1:12" s="12" customFormat="1" ht="24.95" customHeight="1">
      <c r="A21" s="13">
        <f t="shared" si="1"/>
        <v>13</v>
      </c>
      <c r="B21" s="52" t="s">
        <v>200</v>
      </c>
      <c r="C21" s="52" t="s">
        <v>125</v>
      </c>
      <c r="D21" s="53" t="s">
        <v>124</v>
      </c>
      <c r="E21" s="53">
        <v>10</v>
      </c>
      <c r="F21" s="53">
        <v>2</v>
      </c>
      <c r="G21" s="10" t="s">
        <v>19</v>
      </c>
      <c r="H21" s="10"/>
      <c r="I21" s="57"/>
      <c r="J21" s="59"/>
    </row>
    <row r="22" spans="1:12" s="12" customFormat="1" ht="24.95" customHeight="1">
      <c r="A22" s="13">
        <f t="shared" si="1"/>
        <v>14</v>
      </c>
      <c r="B22" s="52" t="s">
        <v>285</v>
      </c>
      <c r="C22" s="96" t="s">
        <v>286</v>
      </c>
      <c r="D22" s="53" t="s">
        <v>124</v>
      </c>
      <c r="E22" s="53">
        <v>10</v>
      </c>
      <c r="F22" s="53">
        <v>2</v>
      </c>
      <c r="G22" s="10" t="s">
        <v>84</v>
      </c>
      <c r="H22" s="10"/>
      <c r="I22" s="57"/>
      <c r="J22" s="100"/>
    </row>
    <row r="23" spans="1:12" s="12" customFormat="1" ht="24.95" customHeight="1">
      <c r="A23" s="13">
        <f t="shared" si="1"/>
        <v>15</v>
      </c>
      <c r="B23" s="52" t="s">
        <v>201</v>
      </c>
      <c r="C23" s="52" t="s">
        <v>126</v>
      </c>
      <c r="D23" s="53" t="s">
        <v>59</v>
      </c>
      <c r="E23" s="53">
        <v>1</v>
      </c>
      <c r="F23" s="53"/>
      <c r="G23" s="10" t="s">
        <v>84</v>
      </c>
      <c r="H23" s="10"/>
      <c r="I23" s="53"/>
      <c r="J23" s="87" t="s">
        <v>230</v>
      </c>
      <c r="L23" s="11"/>
    </row>
    <row r="24" spans="1:12" s="12" customFormat="1" ht="24.95" customHeight="1">
      <c r="A24" s="13" t="str">
        <f t="shared" si="1"/>
        <v/>
      </c>
      <c r="B24" s="53"/>
      <c r="C24" s="9"/>
      <c r="D24" s="53"/>
      <c r="E24" s="53"/>
      <c r="F24" s="53"/>
      <c r="G24" s="10"/>
      <c r="H24" s="10"/>
      <c r="I24" s="53"/>
      <c r="J24" s="53"/>
      <c r="K24" s="61"/>
      <c r="L24" s="11"/>
    </row>
  </sheetData>
  <phoneticPr fontId="4"/>
  <hyperlinks>
    <hyperlink ref="J1" location="目次!A1" display="テーブル一覧へ" xr:uid="{9B3670D8-B18F-4B62-9FC1-65CE34F592BB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56396-65D2-47B5-9D98-A0F0A5B02AB4}">
  <sheetPr codeName="Sheet16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H18" sqref="H18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TOOL!C9</f>
        <v>住所情報</v>
      </c>
      <c r="C5" s="79" t="str">
        <f>TOOL!D9</f>
        <v>address_info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>IF(B9="","",ROW()-8)</f>
        <v>1</v>
      </c>
      <c r="B9" s="52" t="s">
        <v>173</v>
      </c>
      <c r="C9" s="52" t="s">
        <v>103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53"/>
      <c r="L9" s="11"/>
    </row>
    <row r="10" spans="1:12" s="12" customFormat="1" ht="24.95" customHeight="1">
      <c r="A10" s="13">
        <f t="shared" ref="A10:A23" si="0">IF(B10="","",ROW()-8)</f>
        <v>2</v>
      </c>
      <c r="B10" s="52" t="s">
        <v>204</v>
      </c>
      <c r="C10" s="52" t="s">
        <v>128</v>
      </c>
      <c r="D10" s="53" t="s">
        <v>58</v>
      </c>
      <c r="E10" s="53">
        <v>20</v>
      </c>
      <c r="F10" s="53"/>
      <c r="G10" s="10" t="s">
        <v>19</v>
      </c>
      <c r="H10" s="10" t="s">
        <v>20</v>
      </c>
      <c r="I10" s="53"/>
      <c r="J10" s="53"/>
      <c r="L10" s="11"/>
    </row>
    <row r="11" spans="1:12" s="12" customFormat="1" ht="24.95" customHeight="1">
      <c r="A11" s="13">
        <f t="shared" si="0"/>
        <v>3</v>
      </c>
      <c r="B11" s="52" t="s">
        <v>205</v>
      </c>
      <c r="C11" s="52" t="s">
        <v>129</v>
      </c>
      <c r="D11" s="53" t="s">
        <v>58</v>
      </c>
      <c r="E11" s="53">
        <v>100</v>
      </c>
      <c r="F11" s="53"/>
      <c r="G11" s="10" t="s">
        <v>66</v>
      </c>
      <c r="H11" s="10"/>
      <c r="I11" s="53"/>
      <c r="J11" s="53"/>
      <c r="L11" s="11"/>
    </row>
    <row r="12" spans="1:12" s="12" customFormat="1" ht="24.95" customHeight="1">
      <c r="A12" s="13">
        <f t="shared" si="0"/>
        <v>4</v>
      </c>
      <c r="B12" s="52" t="s">
        <v>206</v>
      </c>
      <c r="C12" s="52" t="s">
        <v>130</v>
      </c>
      <c r="D12" s="53" t="s">
        <v>59</v>
      </c>
      <c r="E12" s="53">
        <v>1</v>
      </c>
      <c r="F12" s="53"/>
      <c r="G12" s="10" t="s">
        <v>66</v>
      </c>
      <c r="H12" s="10"/>
      <c r="I12" s="53"/>
      <c r="J12" s="86" t="s">
        <v>207</v>
      </c>
      <c r="L12" s="11"/>
    </row>
    <row r="13" spans="1:12" s="12" customFormat="1" ht="24.95" customHeight="1">
      <c r="A13" s="13">
        <f t="shared" si="0"/>
        <v>5</v>
      </c>
      <c r="B13" s="52" t="s">
        <v>172</v>
      </c>
      <c r="C13" s="52" t="s">
        <v>131</v>
      </c>
      <c r="D13" s="53" t="s">
        <v>58</v>
      </c>
      <c r="E13" s="53">
        <v>20</v>
      </c>
      <c r="F13" s="53"/>
      <c r="G13" s="10" t="s">
        <v>66</v>
      </c>
      <c r="H13" s="10"/>
      <c r="I13" s="53"/>
      <c r="J13" s="53"/>
      <c r="L13" s="11"/>
    </row>
    <row r="14" spans="1:12" s="12" customFormat="1" ht="24.95" customHeight="1">
      <c r="A14" s="13">
        <f t="shared" si="0"/>
        <v>6</v>
      </c>
      <c r="B14" s="52" t="s">
        <v>227</v>
      </c>
      <c r="C14" s="52" t="s">
        <v>107</v>
      </c>
      <c r="D14" s="53" t="s">
        <v>59</v>
      </c>
      <c r="E14" s="53">
        <v>11</v>
      </c>
      <c r="F14" s="53"/>
      <c r="G14" s="10" t="s">
        <v>66</v>
      </c>
      <c r="H14" s="10"/>
      <c r="I14" s="53"/>
      <c r="J14" s="53"/>
      <c r="L14" s="11"/>
    </row>
    <row r="15" spans="1:12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L15" s="11"/>
    </row>
    <row r="16" spans="1:12" s="12" customFormat="1" ht="24.95" customHeight="1">
      <c r="A16" s="13" t="str">
        <f t="shared" si="0"/>
        <v/>
      </c>
      <c r="B16" s="52"/>
      <c r="C16" s="52"/>
      <c r="D16" s="53"/>
      <c r="E16" s="53"/>
      <c r="F16" s="53"/>
      <c r="G16" s="10"/>
      <c r="H16" s="10"/>
      <c r="I16" s="53"/>
      <c r="J16" s="53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0"/>
        <v/>
      </c>
      <c r="B18" s="52"/>
      <c r="C18" s="52"/>
      <c r="D18" s="53"/>
      <c r="E18" s="53"/>
      <c r="F18" s="53"/>
      <c r="G18" s="10"/>
      <c r="H18" s="10"/>
      <c r="I18" s="53"/>
      <c r="J18" s="53"/>
      <c r="L18" s="11"/>
    </row>
    <row r="19" spans="1:12" s="12" customFormat="1" ht="24.95" customHeight="1">
      <c r="A19" s="13" t="str">
        <f t="shared" si="0"/>
        <v/>
      </c>
      <c r="B19" s="52"/>
      <c r="C19" s="52"/>
      <c r="D19" s="53"/>
      <c r="E19" s="57"/>
      <c r="F19" s="57"/>
      <c r="G19" s="10"/>
      <c r="H19" s="58"/>
      <c r="I19" s="57"/>
      <c r="J19" s="59"/>
    </row>
    <row r="20" spans="1:12" s="12" customFormat="1" ht="24.95" customHeight="1">
      <c r="A20" s="13" t="str">
        <f t="shared" si="0"/>
        <v/>
      </c>
      <c r="B20" s="52"/>
      <c r="C20" s="52"/>
      <c r="D20" s="53"/>
      <c r="E20" s="53"/>
      <c r="F20" s="53"/>
      <c r="G20" s="10"/>
      <c r="H20" s="10"/>
      <c r="I20" s="53"/>
      <c r="J20" s="53"/>
      <c r="L20" s="11"/>
    </row>
    <row r="21" spans="1:12" s="12" customFormat="1" ht="24.95" customHeight="1">
      <c r="A21" s="13" t="str">
        <f t="shared" si="0"/>
        <v/>
      </c>
      <c r="B21" s="53"/>
      <c r="C21" s="9"/>
      <c r="D21" s="53"/>
      <c r="E21" s="53"/>
      <c r="F21" s="53"/>
      <c r="G21" s="10"/>
      <c r="H21" s="10"/>
      <c r="I21" s="10"/>
      <c r="J21" s="53"/>
      <c r="L21" s="11"/>
    </row>
    <row r="22" spans="1:12" s="12" customFormat="1" ht="24.95" customHeight="1">
      <c r="A22" s="13" t="str">
        <f t="shared" si="0"/>
        <v/>
      </c>
      <c r="B22" s="53"/>
      <c r="C22" s="9"/>
      <c r="D22" s="53"/>
      <c r="E22" s="53"/>
      <c r="F22" s="53"/>
      <c r="G22" s="10"/>
      <c r="H22" s="10"/>
      <c r="I22" s="53"/>
      <c r="J22" s="53"/>
      <c r="K22" s="61"/>
      <c r="L22" s="11"/>
    </row>
    <row r="23" spans="1:12" s="12" customFormat="1" ht="24.95" customHeight="1">
      <c r="A23" s="13" t="str">
        <f t="shared" si="0"/>
        <v/>
      </c>
      <c r="B23" s="91"/>
      <c r="C23" s="9"/>
      <c r="D23" s="91"/>
      <c r="E23" s="91"/>
      <c r="F23" s="91"/>
      <c r="G23" s="10"/>
      <c r="H23" s="10"/>
      <c r="I23" s="91"/>
      <c r="J23" s="80"/>
      <c r="K23" s="11"/>
      <c r="L23" s="11"/>
    </row>
    <row r="24" spans="1:12" s="12" customFormat="1" ht="12">
      <c r="G24" s="90"/>
      <c r="H24" s="90"/>
    </row>
  </sheetData>
  <phoneticPr fontId="4"/>
  <hyperlinks>
    <hyperlink ref="J1" location="目次!A1" display="テーブル一覧へ" xr:uid="{69B6D8B6-B1B0-4E74-87C2-714DE237024C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7A9DF-2027-4A8E-A07F-3675954CD7D3}">
  <sheetPr codeName="Sheet17"/>
  <dimension ref="A1:L40"/>
  <sheetViews>
    <sheetView view="pageBreakPreview" zoomScaleNormal="100" zoomScaleSheetLayoutView="100" workbookViewId="0">
      <pane ySplit="7" topLeftCell="A8" activePane="bottomLeft" state="frozen"/>
      <selection activeCell="C12" sqref="C12"/>
      <selection pane="bottomLeft" activeCell="C12" sqref="C12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21</v>
      </c>
      <c r="C4" s="3" t="s">
        <v>22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64" t="s">
        <v>68</v>
      </c>
      <c r="C5" s="34" t="s">
        <v>69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>IF(B9="","",ROW()-8)</f>
        <v>1</v>
      </c>
      <c r="B9" s="63" t="s">
        <v>67</v>
      </c>
      <c r="C9" s="52" t="s">
        <v>65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62" t="s">
        <v>64</v>
      </c>
      <c r="K9" s="1"/>
      <c r="L9" s="11"/>
    </row>
    <row r="10" spans="1:12" s="12" customFormat="1" ht="24.95" customHeight="1">
      <c r="A10" s="13">
        <f t="shared" ref="A10:A40" si="0">IF(B10="","",ROW()-8)</f>
        <v>2</v>
      </c>
      <c r="B10" s="63" t="s">
        <v>78</v>
      </c>
      <c r="C10" s="52" t="s">
        <v>79</v>
      </c>
      <c r="D10" s="53" t="s">
        <v>58</v>
      </c>
      <c r="E10" s="53">
        <v>60</v>
      </c>
      <c r="F10" s="53"/>
      <c r="G10" s="10" t="s">
        <v>19</v>
      </c>
      <c r="H10" s="10" t="s">
        <v>20</v>
      </c>
      <c r="I10" s="53"/>
      <c r="J10" s="62"/>
      <c r="K10" s="1"/>
      <c r="L10" s="11"/>
    </row>
    <row r="11" spans="1:12" s="12" customFormat="1" ht="24.95" customHeight="1">
      <c r="A11" s="13">
        <f t="shared" si="0"/>
        <v>3</v>
      </c>
      <c r="B11" s="63" t="s">
        <v>71</v>
      </c>
      <c r="C11" s="52" t="s">
        <v>70</v>
      </c>
      <c r="D11" s="53" t="s">
        <v>41</v>
      </c>
      <c r="E11" s="53">
        <v>10</v>
      </c>
      <c r="F11" s="53">
        <v>2</v>
      </c>
      <c r="G11" s="10"/>
      <c r="H11" s="10"/>
      <c r="I11" s="53"/>
      <c r="J11" s="62"/>
      <c r="K11" s="1"/>
      <c r="L11" s="11"/>
    </row>
    <row r="12" spans="1:12" s="12" customFormat="1" ht="24.95" customHeight="1">
      <c r="A12" s="13">
        <f t="shared" si="0"/>
        <v>4</v>
      </c>
      <c r="B12" s="63" t="s">
        <v>72</v>
      </c>
      <c r="C12" s="52" t="s">
        <v>73</v>
      </c>
      <c r="D12" s="53" t="s">
        <v>41</v>
      </c>
      <c r="E12" s="53">
        <v>10</v>
      </c>
      <c r="F12" s="53">
        <v>2</v>
      </c>
      <c r="G12" s="10"/>
      <c r="H12" s="10"/>
      <c r="I12" s="53"/>
      <c r="J12" s="53"/>
      <c r="K12" s="1"/>
      <c r="L12" s="11"/>
    </row>
    <row r="13" spans="1:12" s="12" customFormat="1" ht="24.95" customHeight="1">
      <c r="A13" s="13">
        <f t="shared" si="0"/>
        <v>5</v>
      </c>
      <c r="B13" s="63" t="s">
        <v>75</v>
      </c>
      <c r="C13" s="52" t="s">
        <v>74</v>
      </c>
      <c r="D13" s="53" t="s">
        <v>52</v>
      </c>
      <c r="E13" s="53"/>
      <c r="F13" s="53"/>
      <c r="G13" s="10"/>
      <c r="H13" s="10"/>
      <c r="I13" s="53"/>
      <c r="J13" s="53"/>
      <c r="K13" s="1"/>
      <c r="L13" s="11"/>
    </row>
    <row r="14" spans="1:12" s="12" customFormat="1" ht="24.95" customHeight="1">
      <c r="A14" s="13">
        <f t="shared" si="0"/>
        <v>6</v>
      </c>
      <c r="B14" s="63" t="s">
        <v>77</v>
      </c>
      <c r="C14" s="52" t="s">
        <v>76</v>
      </c>
      <c r="D14" s="53" t="s">
        <v>58</v>
      </c>
      <c r="E14" s="53">
        <v>60</v>
      </c>
      <c r="F14" s="53"/>
      <c r="G14" s="10"/>
      <c r="H14" s="10"/>
      <c r="I14" s="53"/>
      <c r="J14" s="62"/>
      <c r="K14" s="1"/>
      <c r="L14" s="11"/>
    </row>
    <row r="15" spans="1:12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K15" s="1"/>
      <c r="L15" s="11"/>
    </row>
    <row r="16" spans="1:12" s="12" customFormat="1" ht="24.95" customHeight="1">
      <c r="A16" s="13" t="str">
        <f t="shared" si="0"/>
        <v/>
      </c>
      <c r="B16" s="52"/>
      <c r="C16" s="52"/>
      <c r="D16" s="53"/>
      <c r="E16" s="53"/>
      <c r="F16" s="53"/>
      <c r="G16" s="10"/>
      <c r="H16" s="10"/>
      <c r="I16" s="53"/>
      <c r="J16" s="53"/>
      <c r="K16" s="1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K17" s="1"/>
      <c r="L17" s="11"/>
    </row>
    <row r="18" spans="1:12" s="12" customFormat="1" ht="24.95" customHeight="1">
      <c r="A18" s="13" t="str">
        <f t="shared" si="0"/>
        <v/>
      </c>
      <c r="B18" s="52"/>
      <c r="C18" s="52"/>
      <c r="D18" s="53"/>
      <c r="E18" s="53"/>
      <c r="F18" s="53"/>
      <c r="G18" s="10"/>
      <c r="H18" s="10"/>
      <c r="I18" s="53"/>
      <c r="J18" s="53"/>
      <c r="K18" s="1"/>
      <c r="L18" s="11"/>
    </row>
    <row r="19" spans="1:12" s="12" customFormat="1" ht="24.95" customHeight="1">
      <c r="A19" s="13" t="str">
        <f t="shared" si="0"/>
        <v/>
      </c>
      <c r="B19" s="63"/>
      <c r="C19" s="52"/>
      <c r="D19" s="53"/>
      <c r="E19" s="53"/>
      <c r="F19" s="53"/>
      <c r="G19" s="10"/>
      <c r="H19" s="10"/>
      <c r="I19" s="53"/>
      <c r="J19" s="53"/>
      <c r="K19" s="1"/>
      <c r="L19" s="11"/>
    </row>
    <row r="20" spans="1:12" s="12" customFormat="1" ht="24.95" customHeight="1">
      <c r="A20" s="13" t="str">
        <f t="shared" si="0"/>
        <v/>
      </c>
      <c r="B20" s="63"/>
      <c r="C20" s="52"/>
      <c r="D20" s="53"/>
      <c r="E20" s="53"/>
      <c r="F20" s="53"/>
      <c r="G20" s="10"/>
      <c r="H20" s="10"/>
      <c r="I20" s="53"/>
      <c r="J20" s="53"/>
      <c r="K20" s="1"/>
      <c r="L20" s="11"/>
    </row>
    <row r="21" spans="1:12" s="12" customFormat="1" ht="24.95" customHeight="1">
      <c r="A21" s="13" t="str">
        <f t="shared" si="0"/>
        <v/>
      </c>
      <c r="B21" s="52"/>
      <c r="C21" s="52"/>
      <c r="D21" s="53"/>
      <c r="E21" s="57"/>
      <c r="F21" s="57"/>
      <c r="G21" s="10"/>
      <c r="H21" s="58"/>
      <c r="I21" s="57"/>
      <c r="J21" s="59"/>
      <c r="K21" s="1"/>
    </row>
    <row r="22" spans="1:12" s="12" customFormat="1" ht="24.95" customHeight="1">
      <c r="A22" s="13" t="str">
        <f t="shared" si="0"/>
        <v/>
      </c>
      <c r="B22" s="52"/>
      <c r="C22" s="52"/>
      <c r="D22" s="53"/>
      <c r="E22" s="53"/>
      <c r="F22" s="53"/>
      <c r="G22" s="10"/>
      <c r="H22" s="10"/>
      <c r="I22" s="53"/>
      <c r="J22" s="53"/>
      <c r="K22" s="1"/>
      <c r="L22" s="11"/>
    </row>
    <row r="23" spans="1:12" s="12" customFormat="1" ht="24.95" customHeight="1">
      <c r="A23" s="13" t="str">
        <f t="shared" si="0"/>
        <v/>
      </c>
      <c r="B23" s="53"/>
      <c r="C23" s="9"/>
      <c r="D23" s="53"/>
      <c r="E23" s="53"/>
      <c r="F23" s="53"/>
      <c r="G23" s="10"/>
      <c r="H23" s="10"/>
      <c r="I23" s="10"/>
      <c r="J23" s="53"/>
      <c r="K23" s="1"/>
      <c r="L23" s="11"/>
    </row>
    <row r="24" spans="1:12" s="12" customFormat="1" ht="24.95" customHeight="1">
      <c r="A24" s="13" t="str">
        <f t="shared" si="0"/>
        <v/>
      </c>
      <c r="B24" s="53"/>
      <c r="C24" s="9"/>
      <c r="D24" s="53"/>
      <c r="E24" s="53"/>
      <c r="F24" s="53"/>
      <c r="G24" s="10"/>
      <c r="H24" s="10"/>
      <c r="I24" s="53"/>
      <c r="J24" s="53"/>
      <c r="K24" s="61"/>
      <c r="L24" s="11"/>
    </row>
    <row r="25" spans="1:12" s="12" customFormat="1" ht="24.95" customHeight="1">
      <c r="A25" s="13" t="str">
        <f t="shared" si="0"/>
        <v/>
      </c>
      <c r="B25" s="53"/>
      <c r="C25" s="9"/>
      <c r="D25" s="53"/>
      <c r="E25" s="53"/>
      <c r="F25" s="53"/>
      <c r="G25" s="10"/>
      <c r="H25" s="10"/>
      <c r="I25" s="53"/>
      <c r="J25" s="53"/>
      <c r="K25" s="61"/>
      <c r="L25" s="11"/>
    </row>
    <row r="26" spans="1:12" s="12" customFormat="1" ht="24.95" customHeight="1">
      <c r="A26" s="13" t="str">
        <f t="shared" si="0"/>
        <v/>
      </c>
      <c r="B26" s="53"/>
      <c r="C26" s="9"/>
      <c r="D26" s="53"/>
      <c r="E26" s="53"/>
      <c r="F26" s="53"/>
      <c r="G26" s="10"/>
      <c r="H26" s="10"/>
      <c r="I26" s="53"/>
      <c r="J26" s="53"/>
      <c r="K26" s="61"/>
      <c r="L26" s="11"/>
    </row>
    <row r="27" spans="1:12" s="12" customFormat="1" ht="24.95" customHeight="1">
      <c r="A27" s="13" t="str">
        <f t="shared" si="0"/>
        <v/>
      </c>
      <c r="B27" s="53"/>
      <c r="C27" s="9"/>
      <c r="D27" s="53"/>
      <c r="E27" s="53"/>
      <c r="F27" s="53"/>
      <c r="G27" s="10"/>
      <c r="H27" s="10"/>
      <c r="I27" s="53"/>
      <c r="J27" s="53"/>
      <c r="K27" s="61"/>
      <c r="L27" s="11"/>
    </row>
    <row r="28" spans="1:12" ht="24.95" customHeight="1">
      <c r="A28" s="40" t="str">
        <f t="shared" si="0"/>
        <v/>
      </c>
      <c r="B28" s="41"/>
      <c r="C28" s="42"/>
      <c r="D28" s="41"/>
      <c r="E28" s="41"/>
      <c r="F28" s="41"/>
      <c r="G28" s="43"/>
      <c r="H28" s="43"/>
      <c r="I28" s="41"/>
      <c r="J28" s="41"/>
      <c r="K28" s="39"/>
      <c r="L28" s="39"/>
    </row>
    <row r="29" spans="1:12" ht="24.95" customHeight="1">
      <c r="A29" s="40" t="str">
        <f t="shared" si="0"/>
        <v/>
      </c>
      <c r="B29" s="41"/>
      <c r="C29" s="42"/>
      <c r="D29" s="41"/>
      <c r="E29" s="41"/>
      <c r="F29" s="41"/>
      <c r="G29" s="43"/>
      <c r="H29" s="43"/>
      <c r="I29" s="41"/>
      <c r="J29" s="41"/>
      <c r="K29" s="39"/>
      <c r="L29" s="39"/>
    </row>
    <row r="30" spans="1:12" ht="24.95" customHeight="1">
      <c r="A30" s="40" t="str">
        <f t="shared" si="0"/>
        <v/>
      </c>
      <c r="B30" s="41"/>
      <c r="C30" s="42"/>
      <c r="D30" s="41"/>
      <c r="E30" s="41"/>
      <c r="F30" s="41"/>
      <c r="G30" s="43"/>
      <c r="H30" s="43"/>
      <c r="I30" s="41"/>
      <c r="J30" s="41"/>
      <c r="K30" s="39"/>
      <c r="L30" s="39"/>
    </row>
    <row r="31" spans="1:12" ht="24.95" customHeight="1">
      <c r="A31" s="40" t="str">
        <f t="shared" si="0"/>
        <v/>
      </c>
      <c r="B31" s="44"/>
      <c r="C31" s="42"/>
      <c r="D31" s="44"/>
      <c r="E31" s="44"/>
      <c r="F31" s="41"/>
      <c r="G31" s="43"/>
      <c r="H31" s="43"/>
      <c r="I31" s="41"/>
      <c r="J31" s="45"/>
      <c r="K31" s="39"/>
      <c r="L31" s="39"/>
    </row>
    <row r="32" spans="1:12" ht="24.95" customHeight="1">
      <c r="A32" s="40" t="str">
        <f t="shared" si="0"/>
        <v/>
      </c>
      <c r="B32" s="44"/>
      <c r="C32" s="42"/>
      <c r="D32" s="44"/>
      <c r="E32" s="44"/>
      <c r="F32" s="41"/>
      <c r="G32" s="43"/>
      <c r="H32" s="43"/>
      <c r="I32" s="41"/>
      <c r="J32" s="45"/>
      <c r="K32" s="39"/>
      <c r="L32" s="39"/>
    </row>
    <row r="33" spans="1:12" ht="24.95" customHeight="1">
      <c r="A33" s="40" t="str">
        <f t="shared" si="0"/>
        <v/>
      </c>
      <c r="B33" s="44"/>
      <c r="C33" s="42"/>
      <c r="D33" s="44"/>
      <c r="E33" s="44"/>
      <c r="F33" s="41"/>
      <c r="G33" s="43"/>
      <c r="H33" s="43"/>
      <c r="I33" s="41"/>
      <c r="J33" s="45"/>
      <c r="K33" s="39"/>
      <c r="L33" s="39"/>
    </row>
    <row r="34" spans="1:12" ht="24.95" customHeight="1">
      <c r="A34" s="40" t="str">
        <f t="shared" si="0"/>
        <v/>
      </c>
      <c r="B34" s="44"/>
      <c r="C34" s="42"/>
      <c r="D34" s="44"/>
      <c r="E34" s="44"/>
      <c r="F34" s="41"/>
      <c r="G34" s="43"/>
      <c r="H34" s="43"/>
      <c r="I34" s="41"/>
      <c r="J34" s="45"/>
      <c r="K34" s="39"/>
      <c r="L34" s="39"/>
    </row>
    <row r="35" spans="1:12" ht="24.95" customHeight="1">
      <c r="A35" s="40" t="str">
        <f t="shared" si="0"/>
        <v/>
      </c>
      <c r="B35" s="41"/>
      <c r="C35" s="42"/>
      <c r="D35" s="41"/>
      <c r="E35" s="41"/>
      <c r="F35" s="41"/>
      <c r="G35" s="43"/>
      <c r="H35" s="43"/>
      <c r="I35" s="41"/>
      <c r="J35" s="45"/>
      <c r="K35" s="39"/>
      <c r="L35" s="39"/>
    </row>
    <row r="36" spans="1:12" ht="24.95" customHeight="1">
      <c r="A36" s="40" t="str">
        <f t="shared" si="0"/>
        <v/>
      </c>
      <c r="B36" s="41"/>
      <c r="C36" s="42"/>
      <c r="D36" s="41"/>
      <c r="E36" s="41"/>
      <c r="F36" s="41"/>
      <c r="G36" s="43"/>
      <c r="H36" s="43"/>
      <c r="I36" s="41"/>
      <c r="J36" s="45"/>
      <c r="K36" s="39"/>
      <c r="L36" s="39"/>
    </row>
    <row r="37" spans="1:12" ht="24.95" customHeight="1">
      <c r="A37" s="40" t="str">
        <f t="shared" si="0"/>
        <v/>
      </c>
      <c r="B37" s="41"/>
      <c r="C37" s="42"/>
      <c r="D37" s="41"/>
      <c r="E37" s="41"/>
      <c r="F37" s="41"/>
      <c r="G37" s="43"/>
      <c r="H37" s="43"/>
      <c r="I37" s="41"/>
      <c r="J37" s="45"/>
      <c r="K37" s="39"/>
      <c r="L37" s="39"/>
    </row>
    <row r="38" spans="1:12" ht="24.95" customHeight="1">
      <c r="A38" s="40" t="str">
        <f t="shared" si="0"/>
        <v/>
      </c>
      <c r="B38" s="41"/>
      <c r="C38" s="42"/>
      <c r="D38" s="41"/>
      <c r="E38" s="41"/>
      <c r="F38" s="41"/>
      <c r="G38" s="43"/>
      <c r="H38" s="43"/>
      <c r="I38" s="41"/>
      <c r="J38" s="45"/>
      <c r="K38" s="39"/>
      <c r="L38" s="39"/>
    </row>
    <row r="39" spans="1:12" ht="24.95" customHeight="1">
      <c r="A39" s="40" t="str">
        <f t="shared" si="0"/>
        <v/>
      </c>
      <c r="B39" s="41"/>
      <c r="C39" s="42"/>
      <c r="D39" s="41"/>
      <c r="E39" s="41"/>
      <c r="F39" s="41"/>
      <c r="G39" s="43"/>
      <c r="H39" s="43"/>
      <c r="I39" s="41"/>
      <c r="J39" s="45"/>
      <c r="K39" s="39"/>
      <c r="L39" s="39"/>
    </row>
    <row r="40" spans="1:12" ht="24.95" customHeight="1">
      <c r="A40" s="40" t="str">
        <f t="shared" si="0"/>
        <v/>
      </c>
      <c r="B40" s="41"/>
      <c r="C40" s="42"/>
      <c r="D40" s="41"/>
      <c r="E40" s="41"/>
      <c r="F40" s="41"/>
      <c r="G40" s="43"/>
      <c r="H40" s="43"/>
      <c r="I40" s="41"/>
      <c r="J40" s="45"/>
      <c r="K40" s="39"/>
      <c r="L40" s="39"/>
    </row>
  </sheetData>
  <phoneticPr fontId="4"/>
  <hyperlinks>
    <hyperlink ref="J1" location="目次!A1" display="テーブル一覧へ" xr:uid="{1D2485DE-013C-4640-90DB-69D1092B1024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692B-A86B-4D0C-B9E2-309EF0FFAAC3}">
  <sheetPr codeName="Sheet18"/>
  <dimension ref="A1:L39"/>
  <sheetViews>
    <sheetView view="pageBreakPreview" zoomScaleNormal="100" zoomScaleSheetLayoutView="100" workbookViewId="0">
      <pane ySplit="7" topLeftCell="A8" activePane="bottomLeft" state="frozen"/>
      <selection activeCell="C12" sqref="C12"/>
      <selection pane="bottomLeft" activeCell="C12" sqref="C12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21</v>
      </c>
      <c r="C4" s="3" t="s">
        <v>22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64" t="s">
        <v>81</v>
      </c>
      <c r="C5" s="34" t="s">
        <v>80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 t="shared" ref="A9:A39" si="0">IF(B9="","",ROW()-8)</f>
        <v>1</v>
      </c>
      <c r="B9" s="63" t="s">
        <v>78</v>
      </c>
      <c r="C9" s="52" t="s">
        <v>79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62"/>
      <c r="K9" s="1"/>
      <c r="L9" s="11"/>
    </row>
    <row r="10" spans="1:12" s="12" customFormat="1" ht="24.95" customHeight="1">
      <c r="A10" s="13">
        <f>IF(B10="","",ROW()-8)</f>
        <v>2</v>
      </c>
      <c r="B10" s="63" t="s">
        <v>82</v>
      </c>
      <c r="C10" s="52" t="s">
        <v>83</v>
      </c>
      <c r="D10" s="53" t="s">
        <v>32</v>
      </c>
      <c r="E10" s="53"/>
      <c r="F10" s="53"/>
      <c r="G10" s="10"/>
      <c r="H10" s="10"/>
      <c r="I10" s="53"/>
      <c r="J10" s="53"/>
      <c r="K10" s="1"/>
      <c r="L10" s="11"/>
    </row>
    <row r="11" spans="1:12" s="12" customFormat="1" ht="24.95" customHeight="1">
      <c r="A11" s="13">
        <f>IF(B11="","",ROW()-8)</f>
        <v>3</v>
      </c>
      <c r="B11" s="63" t="s">
        <v>77</v>
      </c>
      <c r="C11" s="52" t="s">
        <v>76</v>
      </c>
      <c r="D11" s="53" t="s">
        <v>58</v>
      </c>
      <c r="E11" s="53">
        <v>60</v>
      </c>
      <c r="F11" s="53"/>
      <c r="G11" s="10"/>
      <c r="H11" s="10"/>
      <c r="I11" s="53"/>
      <c r="J11" s="62"/>
      <c r="K11" s="1"/>
      <c r="L11" s="11"/>
    </row>
    <row r="12" spans="1:12" s="12" customFormat="1" ht="24.95" customHeight="1">
      <c r="A12" s="13">
        <f t="shared" si="0"/>
        <v>4</v>
      </c>
      <c r="B12" s="63" t="s">
        <v>71</v>
      </c>
      <c r="C12" s="52" t="s">
        <v>70</v>
      </c>
      <c r="D12" s="53" t="s">
        <v>41</v>
      </c>
      <c r="E12" s="53">
        <v>10</v>
      </c>
      <c r="F12" s="53">
        <v>2</v>
      </c>
      <c r="G12" s="10"/>
      <c r="H12" s="10"/>
      <c r="I12" s="53"/>
      <c r="J12" s="62"/>
      <c r="K12" s="1"/>
      <c r="L12" s="11"/>
    </row>
    <row r="13" spans="1:12" s="12" customFormat="1" ht="24.95" customHeight="1">
      <c r="A13" s="13">
        <f t="shared" si="0"/>
        <v>5</v>
      </c>
      <c r="B13" s="63" t="s">
        <v>72</v>
      </c>
      <c r="C13" s="52" t="s">
        <v>73</v>
      </c>
      <c r="D13" s="53" t="s">
        <v>41</v>
      </c>
      <c r="E13" s="53">
        <v>10</v>
      </c>
      <c r="F13" s="53">
        <v>2</v>
      </c>
      <c r="G13" s="10"/>
      <c r="H13" s="10"/>
      <c r="I13" s="53"/>
      <c r="J13" s="53"/>
      <c r="K13" s="1"/>
      <c r="L13" s="11"/>
    </row>
    <row r="14" spans="1:12" s="12" customFormat="1" ht="24.95" customHeight="1">
      <c r="A14" s="13">
        <f t="shared" si="0"/>
        <v>6</v>
      </c>
      <c r="B14" s="63" t="s">
        <v>75</v>
      </c>
      <c r="C14" s="52" t="s">
        <v>74</v>
      </c>
      <c r="D14" s="53" t="s">
        <v>52</v>
      </c>
      <c r="E14" s="53"/>
      <c r="F14" s="53"/>
      <c r="G14" s="10"/>
      <c r="H14" s="10"/>
      <c r="I14" s="53"/>
      <c r="J14" s="53"/>
      <c r="K14" s="1"/>
      <c r="L14" s="11"/>
    </row>
    <row r="15" spans="1:12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K15" s="1"/>
      <c r="L15" s="11"/>
    </row>
    <row r="16" spans="1:12" s="12" customFormat="1" ht="24.95" customHeight="1">
      <c r="A16" s="13" t="str">
        <f t="shared" si="0"/>
        <v/>
      </c>
      <c r="B16" s="52"/>
      <c r="C16" s="52"/>
      <c r="D16" s="53"/>
      <c r="E16" s="53"/>
      <c r="F16" s="53"/>
      <c r="G16" s="10"/>
      <c r="H16" s="10"/>
      <c r="I16" s="53"/>
      <c r="J16" s="53"/>
      <c r="K16" s="1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K17" s="1"/>
      <c r="L17" s="11"/>
    </row>
    <row r="18" spans="1:12" s="12" customFormat="1" ht="24.95" customHeight="1">
      <c r="A18" s="13" t="str">
        <f t="shared" si="0"/>
        <v/>
      </c>
      <c r="B18" s="63"/>
      <c r="C18" s="52"/>
      <c r="D18" s="53"/>
      <c r="E18" s="53"/>
      <c r="F18" s="53"/>
      <c r="G18" s="10"/>
      <c r="H18" s="10"/>
      <c r="I18" s="53"/>
      <c r="J18" s="53"/>
      <c r="K18" s="1"/>
      <c r="L18" s="11"/>
    </row>
    <row r="19" spans="1:12" s="12" customFormat="1" ht="24.95" customHeight="1">
      <c r="A19" s="13" t="str">
        <f t="shared" si="0"/>
        <v/>
      </c>
      <c r="B19" s="63"/>
      <c r="C19" s="52"/>
      <c r="D19" s="53"/>
      <c r="E19" s="53"/>
      <c r="F19" s="53"/>
      <c r="G19" s="10"/>
      <c r="H19" s="10"/>
      <c r="I19" s="53"/>
      <c r="J19" s="53"/>
      <c r="K19" s="1"/>
      <c r="L19" s="11"/>
    </row>
    <row r="20" spans="1:12" s="12" customFormat="1" ht="24.95" customHeight="1">
      <c r="A20" s="13" t="str">
        <f t="shared" si="0"/>
        <v/>
      </c>
      <c r="B20" s="52"/>
      <c r="C20" s="52"/>
      <c r="D20" s="53"/>
      <c r="E20" s="57"/>
      <c r="F20" s="57"/>
      <c r="G20" s="10"/>
      <c r="H20" s="58"/>
      <c r="I20" s="57"/>
      <c r="J20" s="59"/>
      <c r="K20" s="1"/>
    </row>
    <row r="21" spans="1:12" s="12" customFormat="1" ht="24.95" customHeight="1">
      <c r="A21" s="13" t="str">
        <f t="shared" si="0"/>
        <v/>
      </c>
      <c r="B21" s="52"/>
      <c r="C21" s="52"/>
      <c r="D21" s="53"/>
      <c r="E21" s="53"/>
      <c r="F21" s="53"/>
      <c r="G21" s="10"/>
      <c r="H21" s="10"/>
      <c r="I21" s="53"/>
      <c r="J21" s="53"/>
      <c r="K21" s="1"/>
      <c r="L21" s="11"/>
    </row>
    <row r="22" spans="1:12" s="12" customFormat="1" ht="24.95" customHeight="1">
      <c r="A22" s="13" t="str">
        <f t="shared" si="0"/>
        <v/>
      </c>
      <c r="B22" s="53"/>
      <c r="C22" s="9"/>
      <c r="D22" s="53"/>
      <c r="E22" s="53"/>
      <c r="F22" s="53"/>
      <c r="G22" s="10"/>
      <c r="H22" s="10"/>
      <c r="I22" s="10"/>
      <c r="J22" s="53"/>
      <c r="K22" s="1"/>
      <c r="L22" s="11"/>
    </row>
    <row r="23" spans="1:12" s="12" customFormat="1" ht="24.95" customHeight="1">
      <c r="A23" s="13" t="str">
        <f t="shared" si="0"/>
        <v/>
      </c>
      <c r="B23" s="53"/>
      <c r="C23" s="9"/>
      <c r="D23" s="53"/>
      <c r="E23" s="53"/>
      <c r="F23" s="53"/>
      <c r="G23" s="10"/>
      <c r="H23" s="10"/>
      <c r="I23" s="53"/>
      <c r="J23" s="53"/>
      <c r="K23" s="61"/>
      <c r="L23" s="11"/>
    </row>
    <row r="24" spans="1:12" s="12" customFormat="1" ht="24.95" customHeight="1">
      <c r="A24" s="13" t="str">
        <f t="shared" si="0"/>
        <v/>
      </c>
      <c r="B24" s="53"/>
      <c r="C24" s="9"/>
      <c r="D24" s="53"/>
      <c r="E24" s="53"/>
      <c r="F24" s="53"/>
      <c r="G24" s="10"/>
      <c r="H24" s="10"/>
      <c r="I24" s="53"/>
      <c r="J24" s="53"/>
      <c r="K24" s="61"/>
      <c r="L24" s="11"/>
    </row>
    <row r="25" spans="1:12" s="12" customFormat="1" ht="24.95" customHeight="1">
      <c r="A25" s="13" t="str">
        <f t="shared" si="0"/>
        <v/>
      </c>
      <c r="B25" s="53"/>
      <c r="C25" s="9"/>
      <c r="D25" s="53"/>
      <c r="E25" s="53"/>
      <c r="F25" s="53"/>
      <c r="G25" s="10"/>
      <c r="H25" s="10"/>
      <c r="I25" s="53"/>
      <c r="J25" s="53"/>
      <c r="K25" s="61"/>
      <c r="L25" s="11"/>
    </row>
    <row r="26" spans="1:12" s="12" customFormat="1" ht="24.95" customHeight="1">
      <c r="A26" s="13" t="str">
        <f t="shared" si="0"/>
        <v/>
      </c>
      <c r="B26" s="53"/>
      <c r="C26" s="9"/>
      <c r="D26" s="53"/>
      <c r="E26" s="53"/>
      <c r="F26" s="53"/>
      <c r="G26" s="10"/>
      <c r="H26" s="10"/>
      <c r="I26" s="53"/>
      <c r="J26" s="53"/>
      <c r="K26" s="61"/>
      <c r="L26" s="11"/>
    </row>
    <row r="27" spans="1:12" ht="24.95" customHeight="1">
      <c r="A27" s="40" t="str">
        <f t="shared" si="0"/>
        <v/>
      </c>
      <c r="B27" s="41"/>
      <c r="C27" s="42"/>
      <c r="D27" s="41"/>
      <c r="E27" s="41"/>
      <c r="F27" s="41"/>
      <c r="G27" s="43"/>
      <c r="H27" s="43"/>
      <c r="I27" s="41"/>
      <c r="J27" s="41"/>
      <c r="K27" s="39"/>
      <c r="L27" s="39"/>
    </row>
    <row r="28" spans="1:12" ht="24.95" customHeight="1">
      <c r="A28" s="40" t="str">
        <f t="shared" si="0"/>
        <v/>
      </c>
      <c r="B28" s="41"/>
      <c r="C28" s="42"/>
      <c r="D28" s="41"/>
      <c r="E28" s="41"/>
      <c r="F28" s="41"/>
      <c r="G28" s="43"/>
      <c r="H28" s="43"/>
      <c r="I28" s="41"/>
      <c r="J28" s="41"/>
      <c r="K28" s="39"/>
      <c r="L28" s="39"/>
    </row>
    <row r="29" spans="1:12" ht="24.95" customHeight="1">
      <c r="A29" s="40" t="str">
        <f t="shared" si="0"/>
        <v/>
      </c>
      <c r="B29" s="41"/>
      <c r="C29" s="42"/>
      <c r="D29" s="41"/>
      <c r="E29" s="41"/>
      <c r="F29" s="41"/>
      <c r="G29" s="43"/>
      <c r="H29" s="43"/>
      <c r="I29" s="41"/>
      <c r="J29" s="41"/>
      <c r="K29" s="39"/>
      <c r="L29" s="39"/>
    </row>
    <row r="30" spans="1:12" ht="24.95" customHeight="1">
      <c r="A30" s="40" t="str">
        <f t="shared" si="0"/>
        <v/>
      </c>
      <c r="B30" s="44"/>
      <c r="C30" s="42"/>
      <c r="D30" s="44"/>
      <c r="E30" s="44"/>
      <c r="F30" s="41"/>
      <c r="G30" s="43"/>
      <c r="H30" s="43"/>
      <c r="I30" s="41"/>
      <c r="J30" s="45"/>
      <c r="K30" s="39"/>
      <c r="L30" s="39"/>
    </row>
    <row r="31" spans="1:12" ht="24.95" customHeight="1">
      <c r="A31" s="40" t="str">
        <f t="shared" si="0"/>
        <v/>
      </c>
      <c r="B31" s="44"/>
      <c r="C31" s="42"/>
      <c r="D31" s="44"/>
      <c r="E31" s="44"/>
      <c r="F31" s="41"/>
      <c r="G31" s="43"/>
      <c r="H31" s="43"/>
      <c r="I31" s="41"/>
      <c r="J31" s="45"/>
      <c r="K31" s="39"/>
      <c r="L31" s="39"/>
    </row>
    <row r="32" spans="1:12" ht="24.95" customHeight="1">
      <c r="A32" s="40" t="str">
        <f t="shared" si="0"/>
        <v/>
      </c>
      <c r="B32" s="44"/>
      <c r="C32" s="42"/>
      <c r="D32" s="44"/>
      <c r="E32" s="44"/>
      <c r="F32" s="41"/>
      <c r="G32" s="43"/>
      <c r="H32" s="43"/>
      <c r="I32" s="41"/>
      <c r="J32" s="45"/>
      <c r="K32" s="39"/>
      <c r="L32" s="39"/>
    </row>
    <row r="33" spans="1:12" ht="24.95" customHeight="1">
      <c r="A33" s="40" t="str">
        <f t="shared" si="0"/>
        <v/>
      </c>
      <c r="B33" s="44"/>
      <c r="C33" s="42"/>
      <c r="D33" s="44"/>
      <c r="E33" s="44"/>
      <c r="F33" s="41"/>
      <c r="G33" s="43"/>
      <c r="H33" s="43"/>
      <c r="I33" s="41"/>
      <c r="J33" s="45"/>
      <c r="K33" s="39"/>
      <c r="L33" s="39"/>
    </row>
    <row r="34" spans="1:12" ht="24.95" customHeight="1">
      <c r="A34" s="40" t="str">
        <f t="shared" si="0"/>
        <v/>
      </c>
      <c r="B34" s="41"/>
      <c r="C34" s="42"/>
      <c r="D34" s="41"/>
      <c r="E34" s="41"/>
      <c r="F34" s="41"/>
      <c r="G34" s="43"/>
      <c r="H34" s="43"/>
      <c r="I34" s="41"/>
      <c r="J34" s="45"/>
      <c r="K34" s="39"/>
      <c r="L34" s="39"/>
    </row>
    <row r="35" spans="1:12" ht="24.95" customHeight="1">
      <c r="A35" s="40" t="str">
        <f t="shared" si="0"/>
        <v/>
      </c>
      <c r="B35" s="41"/>
      <c r="C35" s="42"/>
      <c r="D35" s="41"/>
      <c r="E35" s="41"/>
      <c r="F35" s="41"/>
      <c r="G35" s="43"/>
      <c r="H35" s="43"/>
      <c r="I35" s="41"/>
      <c r="J35" s="45"/>
      <c r="K35" s="39"/>
      <c r="L35" s="39"/>
    </row>
    <row r="36" spans="1:12" ht="24.95" customHeight="1">
      <c r="A36" s="40" t="str">
        <f t="shared" si="0"/>
        <v/>
      </c>
      <c r="B36" s="41"/>
      <c r="C36" s="42"/>
      <c r="D36" s="41"/>
      <c r="E36" s="41"/>
      <c r="F36" s="41"/>
      <c r="G36" s="43"/>
      <c r="H36" s="43"/>
      <c r="I36" s="41"/>
      <c r="J36" s="45"/>
      <c r="K36" s="39"/>
      <c r="L36" s="39"/>
    </row>
    <row r="37" spans="1:12" ht="24.95" customHeight="1">
      <c r="A37" s="40" t="str">
        <f t="shared" si="0"/>
        <v/>
      </c>
      <c r="B37" s="41"/>
      <c r="C37" s="42"/>
      <c r="D37" s="41"/>
      <c r="E37" s="41"/>
      <c r="F37" s="41"/>
      <c r="G37" s="43"/>
      <c r="H37" s="43"/>
      <c r="I37" s="41"/>
      <c r="J37" s="45"/>
      <c r="K37" s="39"/>
      <c r="L37" s="39"/>
    </row>
    <row r="38" spans="1:12" ht="24.95" customHeight="1">
      <c r="A38" s="40" t="str">
        <f t="shared" si="0"/>
        <v/>
      </c>
      <c r="B38" s="41"/>
      <c r="C38" s="42"/>
      <c r="D38" s="41"/>
      <c r="E38" s="41"/>
      <c r="F38" s="41"/>
      <c r="G38" s="43"/>
      <c r="H38" s="43"/>
      <c r="I38" s="41"/>
      <c r="J38" s="45"/>
      <c r="K38" s="39"/>
      <c r="L38" s="39"/>
    </row>
    <row r="39" spans="1:12" ht="24.95" customHeight="1">
      <c r="A39" s="40" t="str">
        <f t="shared" si="0"/>
        <v/>
      </c>
      <c r="B39" s="41"/>
      <c r="C39" s="42"/>
      <c r="D39" s="41"/>
      <c r="E39" s="41"/>
      <c r="F39" s="41"/>
      <c r="G39" s="43"/>
      <c r="H39" s="43"/>
      <c r="I39" s="41"/>
      <c r="J39" s="45"/>
      <c r="K39" s="39"/>
      <c r="L39" s="39"/>
    </row>
  </sheetData>
  <phoneticPr fontId="4"/>
  <hyperlinks>
    <hyperlink ref="J1" location="目次!A1" display="テーブル一覧へ" xr:uid="{799E2E8E-5715-4F6E-A621-11A4407492D3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920EE-CCF4-4941-B6BD-A79080ACF3F1}">
  <sheetPr codeName="Sheet19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C10" sqref="C10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TOOL!C10</f>
        <v>商品収蔵情報</v>
      </c>
      <c r="C5" s="79" t="str">
        <f>TOOL!D10</f>
        <v>goods_col_info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 t="shared" ref="A9:A24" si="0">IF(B9="","",ROW()-8)</f>
        <v>1</v>
      </c>
      <c r="B9" s="52" t="s">
        <v>173</v>
      </c>
      <c r="C9" s="52" t="s">
        <v>103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53"/>
      <c r="L9" s="11"/>
    </row>
    <row r="10" spans="1:12" s="12" customFormat="1" ht="24.95" customHeight="1">
      <c r="A10" s="13">
        <f>IF(B10="","",ROW()-8)</f>
        <v>2</v>
      </c>
      <c r="B10" s="52" t="s">
        <v>202</v>
      </c>
      <c r="C10" s="52" t="s">
        <v>287</v>
      </c>
      <c r="D10" s="53" t="s">
        <v>59</v>
      </c>
      <c r="E10" s="53">
        <v>10</v>
      </c>
      <c r="F10" s="53"/>
      <c r="G10" s="10" t="s">
        <v>66</v>
      </c>
      <c r="H10" s="10"/>
      <c r="I10" s="53"/>
      <c r="J10" s="53"/>
      <c r="L10" s="11"/>
    </row>
    <row r="11" spans="1:12" s="12" customFormat="1" ht="24.95" customHeight="1">
      <c r="A11" s="13">
        <f t="shared" si="0"/>
        <v>3</v>
      </c>
      <c r="B11" s="52" t="s">
        <v>203</v>
      </c>
      <c r="C11" s="52" t="s">
        <v>288</v>
      </c>
      <c r="D11" s="53" t="s">
        <v>58</v>
      </c>
      <c r="E11" s="53">
        <v>200</v>
      </c>
      <c r="F11" s="53"/>
      <c r="G11" s="10" t="s">
        <v>66</v>
      </c>
      <c r="H11" s="10"/>
      <c r="I11" s="53"/>
      <c r="J11" s="53"/>
      <c r="L11" s="11"/>
    </row>
    <row r="12" spans="1:12" s="12" customFormat="1" ht="24.95" customHeight="1">
      <c r="A12" s="13">
        <f t="shared" si="0"/>
        <v>4</v>
      </c>
      <c r="B12" s="52" t="s">
        <v>188</v>
      </c>
      <c r="C12" s="52" t="s">
        <v>113</v>
      </c>
      <c r="D12" s="53" t="s">
        <v>58</v>
      </c>
      <c r="E12" s="53">
        <v>10</v>
      </c>
      <c r="F12" s="53"/>
      <c r="G12" s="10" t="s">
        <v>66</v>
      </c>
      <c r="H12" s="10"/>
      <c r="I12" s="53"/>
      <c r="J12" s="53"/>
      <c r="L12" s="11"/>
    </row>
    <row r="13" spans="1:12" s="12" customFormat="1" ht="24.95" customHeight="1">
      <c r="A13" s="13">
        <f t="shared" si="0"/>
        <v>5</v>
      </c>
      <c r="B13" s="52" t="s">
        <v>167</v>
      </c>
      <c r="C13" s="52" t="s">
        <v>116</v>
      </c>
      <c r="D13" s="53" t="s">
        <v>58</v>
      </c>
      <c r="E13" s="53">
        <v>60</v>
      </c>
      <c r="F13" s="53"/>
      <c r="G13" s="10" t="s">
        <v>84</v>
      </c>
      <c r="H13" s="10"/>
      <c r="I13" s="53"/>
      <c r="J13" s="53"/>
      <c r="L13" s="11"/>
    </row>
    <row r="14" spans="1:12" s="12" customFormat="1" ht="24.95" customHeight="1">
      <c r="A14" s="13" t="str">
        <f t="shared" si="0"/>
        <v/>
      </c>
      <c r="B14" s="52"/>
      <c r="C14" s="52"/>
      <c r="D14" s="53"/>
      <c r="E14" s="53"/>
      <c r="F14" s="53"/>
      <c r="G14" s="10"/>
      <c r="H14" s="10"/>
      <c r="I14" s="53"/>
      <c r="J14" s="53"/>
      <c r="L14" s="11"/>
    </row>
    <row r="15" spans="1:12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L15" s="11"/>
    </row>
    <row r="16" spans="1:12" s="12" customFormat="1" ht="24.95" customHeight="1">
      <c r="A16" s="13" t="str">
        <f t="shared" si="0"/>
        <v/>
      </c>
      <c r="B16" s="52"/>
      <c r="C16" s="52"/>
      <c r="D16" s="53"/>
      <c r="E16" s="53"/>
      <c r="F16" s="53"/>
      <c r="G16" s="10"/>
      <c r="H16" s="10"/>
      <c r="I16" s="53"/>
      <c r="J16" s="53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0"/>
        <v/>
      </c>
      <c r="B18" s="52"/>
      <c r="C18" s="52"/>
      <c r="D18" s="53"/>
      <c r="E18" s="53"/>
      <c r="F18" s="53"/>
      <c r="G18" s="10"/>
      <c r="H18" s="10"/>
      <c r="I18" s="53"/>
      <c r="J18" s="53"/>
      <c r="L18" s="11"/>
    </row>
    <row r="19" spans="1:12" s="12" customFormat="1" ht="24.95" customHeight="1">
      <c r="A19" s="13" t="str">
        <f t="shared" si="0"/>
        <v/>
      </c>
      <c r="B19" s="52"/>
      <c r="C19" s="52"/>
      <c r="D19" s="53"/>
      <c r="E19" s="53"/>
      <c r="F19" s="53"/>
      <c r="G19" s="10"/>
      <c r="H19" s="10"/>
      <c r="I19" s="53"/>
      <c r="J19" s="53"/>
      <c r="L19" s="11"/>
    </row>
    <row r="20" spans="1:12" s="12" customFormat="1" ht="24.95" customHeight="1">
      <c r="A20" s="13" t="str">
        <f t="shared" si="0"/>
        <v/>
      </c>
      <c r="B20" s="52"/>
      <c r="C20" s="52"/>
      <c r="D20" s="53"/>
      <c r="E20" s="57"/>
      <c r="F20" s="57"/>
      <c r="G20" s="10"/>
      <c r="H20" s="58"/>
      <c r="I20" s="57"/>
      <c r="J20" s="59"/>
    </row>
    <row r="21" spans="1:12" s="12" customFormat="1" ht="24.95" customHeight="1">
      <c r="A21" s="13" t="str">
        <f t="shared" si="0"/>
        <v/>
      </c>
      <c r="B21" s="52"/>
      <c r="C21" s="52"/>
      <c r="D21" s="53"/>
      <c r="E21" s="53"/>
      <c r="F21" s="53"/>
      <c r="G21" s="10"/>
      <c r="H21" s="10"/>
      <c r="I21" s="53"/>
      <c r="J21" s="53"/>
      <c r="L21" s="11"/>
    </row>
    <row r="22" spans="1:12" s="12" customFormat="1" ht="24.95" customHeight="1">
      <c r="A22" s="13" t="str">
        <f t="shared" si="0"/>
        <v/>
      </c>
      <c r="B22" s="53"/>
      <c r="C22" s="9"/>
      <c r="D22" s="53"/>
      <c r="E22" s="53"/>
      <c r="F22" s="53"/>
      <c r="G22" s="10"/>
      <c r="H22" s="10"/>
      <c r="I22" s="10"/>
      <c r="J22" s="53"/>
      <c r="L22" s="11"/>
    </row>
    <row r="23" spans="1:12" s="12" customFormat="1" ht="24.95" customHeight="1">
      <c r="A23" s="13" t="str">
        <f t="shared" si="0"/>
        <v/>
      </c>
      <c r="B23" s="91"/>
      <c r="C23" s="9"/>
      <c r="D23" s="91"/>
      <c r="E23" s="91"/>
      <c r="F23" s="91"/>
      <c r="G23" s="10"/>
      <c r="H23" s="10"/>
      <c r="I23" s="91"/>
      <c r="J23" s="80"/>
      <c r="K23" s="11"/>
      <c r="L23" s="11"/>
    </row>
    <row r="24" spans="1:12" s="12" customFormat="1" ht="24.95" customHeight="1">
      <c r="A24" s="13" t="str">
        <f t="shared" si="0"/>
        <v/>
      </c>
      <c r="B24" s="91"/>
      <c r="C24" s="9"/>
      <c r="D24" s="91"/>
      <c r="E24" s="91"/>
      <c r="F24" s="91"/>
      <c r="G24" s="10"/>
      <c r="H24" s="10"/>
      <c r="I24" s="91"/>
      <c r="J24" s="80"/>
      <c r="K24" s="11"/>
      <c r="L24" s="11"/>
    </row>
  </sheetData>
  <phoneticPr fontId="4"/>
  <hyperlinks>
    <hyperlink ref="J1" location="目次!A1" display="テーブル一覧へ" xr:uid="{34B56EA8-6CDF-4FB5-B853-D67913B71CC0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AC5E0-6BB0-4BC0-88D1-4D8F566738A9}">
  <sheetPr codeName="Sheet20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D19" sqref="D19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TOOL!C11</f>
        <v>カート情報</v>
      </c>
      <c r="C5" s="79" t="str">
        <f>TOOL!D11</f>
        <v>cart_info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 t="shared" ref="A9:A23" si="0">IF(B9="","",ROW()-8)</f>
        <v>1</v>
      </c>
      <c r="B9" s="52" t="s">
        <v>173</v>
      </c>
      <c r="C9" s="52" t="s">
        <v>103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53" t="s">
        <v>228</v>
      </c>
      <c r="L9" s="11"/>
    </row>
    <row r="10" spans="1:12" s="12" customFormat="1" ht="24.95" customHeight="1">
      <c r="A10" s="13">
        <f>IF(B10="","",ROW()-8)</f>
        <v>2</v>
      </c>
      <c r="B10" s="52" t="s">
        <v>188</v>
      </c>
      <c r="C10" s="52" t="s">
        <v>113</v>
      </c>
      <c r="D10" s="53" t="s">
        <v>59</v>
      </c>
      <c r="E10" s="53">
        <v>10</v>
      </c>
      <c r="F10" s="53"/>
      <c r="G10" s="10" t="s">
        <v>19</v>
      </c>
      <c r="H10" s="10" t="s">
        <v>20</v>
      </c>
      <c r="I10" s="53"/>
      <c r="J10" s="53" t="s">
        <v>229</v>
      </c>
      <c r="L10" s="11"/>
    </row>
    <row r="11" spans="1:12" s="12" customFormat="1" ht="24.95" customHeight="1">
      <c r="A11" s="13">
        <f>IF(B11="","",ROW()-8)</f>
        <v>3</v>
      </c>
      <c r="B11" s="52" t="s">
        <v>202</v>
      </c>
      <c r="C11" s="52" t="s">
        <v>287</v>
      </c>
      <c r="D11" s="53" t="s">
        <v>59</v>
      </c>
      <c r="E11" s="53">
        <v>10</v>
      </c>
      <c r="F11" s="53"/>
      <c r="G11" s="10" t="s">
        <v>19</v>
      </c>
      <c r="H11" s="10"/>
      <c r="I11" s="53"/>
      <c r="J11" s="53"/>
      <c r="L11" s="11"/>
    </row>
    <row r="12" spans="1:12" s="12" customFormat="1" ht="24.95" customHeight="1">
      <c r="A12" s="13">
        <f t="shared" ref="A12" si="1">IF(B12="","",ROW()-8)</f>
        <v>4</v>
      </c>
      <c r="B12" s="52" t="s">
        <v>203</v>
      </c>
      <c r="C12" s="52" t="s">
        <v>288</v>
      </c>
      <c r="D12" s="53" t="s">
        <v>58</v>
      </c>
      <c r="E12" s="53">
        <v>200</v>
      </c>
      <c r="F12" s="53"/>
      <c r="G12" s="10" t="s">
        <v>66</v>
      </c>
      <c r="H12" s="10"/>
      <c r="I12" s="53"/>
      <c r="J12" s="53"/>
      <c r="L12" s="11"/>
    </row>
    <row r="13" spans="1:12" s="12" customFormat="1" ht="24.95" customHeight="1">
      <c r="A13" s="13">
        <f t="shared" si="0"/>
        <v>5</v>
      </c>
      <c r="B13" s="52" t="s">
        <v>168</v>
      </c>
      <c r="C13" s="52" t="s">
        <v>116</v>
      </c>
      <c r="D13" s="53" t="s">
        <v>58</v>
      </c>
      <c r="E13" s="53">
        <v>30</v>
      </c>
      <c r="F13" s="53"/>
      <c r="G13" s="10" t="s">
        <v>19</v>
      </c>
      <c r="H13" s="10"/>
      <c r="I13" s="53"/>
      <c r="J13" s="53"/>
      <c r="L13" s="11"/>
    </row>
    <row r="14" spans="1:12" s="12" customFormat="1" ht="24.95" customHeight="1">
      <c r="A14" s="13">
        <f t="shared" si="0"/>
        <v>6</v>
      </c>
      <c r="B14" s="52" t="s">
        <v>190</v>
      </c>
      <c r="C14" s="52" t="s">
        <v>120</v>
      </c>
      <c r="D14" s="53" t="s">
        <v>121</v>
      </c>
      <c r="E14" s="53"/>
      <c r="F14" s="53"/>
      <c r="G14" s="10" t="s">
        <v>19</v>
      </c>
      <c r="H14" s="10"/>
      <c r="I14" s="53"/>
      <c r="J14" s="53"/>
      <c r="L14" s="11"/>
    </row>
    <row r="15" spans="1:12" s="12" customFormat="1" ht="24.95" customHeight="1">
      <c r="A15" s="13">
        <f t="shared" si="0"/>
        <v>7</v>
      </c>
      <c r="B15" s="52" t="s">
        <v>233</v>
      </c>
      <c r="C15" s="52" t="s">
        <v>132</v>
      </c>
      <c r="D15" s="53" t="s">
        <v>41</v>
      </c>
      <c r="E15" s="53">
        <v>10</v>
      </c>
      <c r="F15" s="53">
        <v>2</v>
      </c>
      <c r="G15" s="10" t="s">
        <v>19</v>
      </c>
      <c r="H15" s="10"/>
      <c r="I15" s="53"/>
      <c r="J15" s="53"/>
      <c r="L15" s="11"/>
    </row>
    <row r="16" spans="1:12" s="12" customFormat="1" ht="24.95" customHeight="1">
      <c r="A16" s="13" t="str">
        <f t="shared" si="0"/>
        <v/>
      </c>
      <c r="B16" s="52"/>
      <c r="C16" s="52"/>
      <c r="D16" s="53"/>
      <c r="E16" s="53"/>
      <c r="F16" s="53"/>
      <c r="G16" s="10"/>
      <c r="H16" s="10"/>
      <c r="I16" s="53"/>
      <c r="J16" s="53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0"/>
        <v/>
      </c>
      <c r="B18" s="52"/>
      <c r="C18" s="52"/>
      <c r="D18" s="53"/>
      <c r="E18" s="53"/>
      <c r="F18" s="53"/>
      <c r="G18" s="10"/>
      <c r="H18" s="10"/>
      <c r="I18" s="53"/>
      <c r="J18" s="53"/>
      <c r="L18" s="11"/>
    </row>
    <row r="19" spans="1:12" s="12" customFormat="1" ht="24.95" customHeight="1">
      <c r="A19" s="13" t="str">
        <f t="shared" si="0"/>
        <v/>
      </c>
      <c r="B19" s="52"/>
      <c r="C19" s="52"/>
      <c r="D19" s="53"/>
      <c r="E19" s="57"/>
      <c r="F19" s="57"/>
      <c r="G19" s="10"/>
      <c r="H19" s="58"/>
      <c r="I19" s="57"/>
      <c r="J19" s="59"/>
    </row>
    <row r="20" spans="1:12" s="12" customFormat="1" ht="24.95" customHeight="1">
      <c r="A20" s="13" t="str">
        <f t="shared" si="0"/>
        <v/>
      </c>
      <c r="B20" s="52"/>
      <c r="C20" s="52"/>
      <c r="D20" s="53"/>
      <c r="E20" s="53"/>
      <c r="F20" s="53"/>
      <c r="G20" s="10"/>
      <c r="H20" s="10"/>
      <c r="I20" s="53"/>
      <c r="J20" s="53"/>
      <c r="L20" s="11"/>
    </row>
    <row r="21" spans="1:12" s="12" customFormat="1" ht="24.95" customHeight="1">
      <c r="A21" s="13" t="str">
        <f t="shared" si="0"/>
        <v/>
      </c>
      <c r="B21" s="53"/>
      <c r="C21" s="9"/>
      <c r="D21" s="53"/>
      <c r="E21" s="53"/>
      <c r="F21" s="53"/>
      <c r="G21" s="10"/>
      <c r="H21" s="10"/>
      <c r="I21" s="10"/>
      <c r="J21" s="53"/>
      <c r="L21" s="11"/>
    </row>
    <row r="22" spans="1:12" s="12" customFormat="1" ht="24.95" customHeight="1">
      <c r="A22" s="13" t="str">
        <f t="shared" si="0"/>
        <v/>
      </c>
      <c r="B22" s="53"/>
      <c r="C22" s="9"/>
      <c r="D22" s="53"/>
      <c r="E22" s="53"/>
      <c r="F22" s="53"/>
      <c r="G22" s="10"/>
      <c r="H22" s="10"/>
      <c r="I22" s="53"/>
      <c r="J22" s="53"/>
      <c r="K22" s="61"/>
      <c r="L22" s="11"/>
    </row>
    <row r="23" spans="1:12" s="12" customFormat="1" ht="24.95" customHeight="1">
      <c r="A23" s="13" t="str">
        <f t="shared" si="0"/>
        <v/>
      </c>
      <c r="B23" s="91"/>
      <c r="C23" s="9"/>
      <c r="D23" s="91"/>
      <c r="E23" s="91"/>
      <c r="F23" s="91"/>
      <c r="G23" s="10"/>
      <c r="H23" s="10"/>
      <c r="I23" s="91"/>
      <c r="J23" s="80"/>
      <c r="K23" s="11"/>
      <c r="L23" s="11"/>
    </row>
    <row r="24" spans="1:12" s="12" customFormat="1" ht="12">
      <c r="G24" s="90"/>
      <c r="H24" s="90"/>
    </row>
  </sheetData>
  <phoneticPr fontId="4"/>
  <hyperlinks>
    <hyperlink ref="J1" location="目次!A1" display="テーブル一覧へ" xr:uid="{3F111B74-8C9E-42F2-B672-081CE9D9F976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62F7D-DEC4-4D86-94BC-5DE74DD89E4A}">
  <sheetPr codeName="Sheet21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H18" sqref="H18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TOOL!C12</f>
        <v>注文情報</v>
      </c>
      <c r="C5" s="79" t="str">
        <f>TOOL!D12</f>
        <v>order_info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 t="shared" ref="A9:A23" si="0">IF(B9="","",ROW()-8)</f>
        <v>1</v>
      </c>
      <c r="B9" s="52" t="s">
        <v>211</v>
      </c>
      <c r="C9" s="52" t="s">
        <v>133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53" t="s">
        <v>228</v>
      </c>
      <c r="L9" s="11"/>
    </row>
    <row r="10" spans="1:12" s="12" customFormat="1" ht="24.95" customHeight="1">
      <c r="A10" s="13">
        <f t="shared" si="0"/>
        <v>2</v>
      </c>
      <c r="B10" s="52" t="s">
        <v>212</v>
      </c>
      <c r="C10" s="52" t="s">
        <v>134</v>
      </c>
      <c r="D10" s="53" t="s">
        <v>58</v>
      </c>
      <c r="E10" s="53">
        <v>60</v>
      </c>
      <c r="F10" s="53"/>
      <c r="G10" s="10" t="s">
        <v>19</v>
      </c>
      <c r="H10" s="10"/>
      <c r="I10" s="53"/>
      <c r="J10" s="53"/>
      <c r="L10" s="11"/>
    </row>
    <row r="11" spans="1:12" s="12" customFormat="1" ht="24.95" customHeight="1">
      <c r="A11" s="13">
        <f t="shared" si="0"/>
        <v>3</v>
      </c>
      <c r="B11" s="52" t="s">
        <v>213</v>
      </c>
      <c r="C11" s="52" t="s">
        <v>135</v>
      </c>
      <c r="D11" s="53" t="s">
        <v>58</v>
      </c>
      <c r="E11" s="53">
        <v>50</v>
      </c>
      <c r="F11" s="53"/>
      <c r="G11" s="10" t="s">
        <v>19</v>
      </c>
      <c r="H11" s="10"/>
      <c r="I11" s="53"/>
      <c r="J11" s="53"/>
      <c r="L11" s="11"/>
    </row>
    <row r="12" spans="1:12" s="12" customFormat="1" ht="24.95" customHeight="1">
      <c r="A12" s="13">
        <f>IF(B12="","",ROW()-8)</f>
        <v>4</v>
      </c>
      <c r="B12" s="52" t="s">
        <v>214</v>
      </c>
      <c r="C12" s="52" t="s">
        <v>136</v>
      </c>
      <c r="D12" s="53" t="s">
        <v>58</v>
      </c>
      <c r="E12" s="53">
        <v>60</v>
      </c>
      <c r="F12" s="53"/>
      <c r="G12" s="10" t="s">
        <v>19</v>
      </c>
      <c r="H12" s="10"/>
      <c r="I12" s="53"/>
      <c r="J12" s="53"/>
      <c r="L12" s="11"/>
    </row>
    <row r="13" spans="1:12" s="12" customFormat="1" ht="24.95" customHeight="1">
      <c r="A13" s="13">
        <f t="shared" ref="A13" si="1">IF(B13="","",ROW()-8)</f>
        <v>5</v>
      </c>
      <c r="B13" s="52" t="s">
        <v>215</v>
      </c>
      <c r="C13" s="52" t="s">
        <v>137</v>
      </c>
      <c r="D13" s="53" t="s">
        <v>58</v>
      </c>
      <c r="E13" s="53">
        <v>60</v>
      </c>
      <c r="F13" s="53"/>
      <c r="G13" s="10" t="s">
        <v>19</v>
      </c>
      <c r="H13" s="10"/>
      <c r="I13" s="53"/>
      <c r="J13" s="53"/>
      <c r="L13" s="11"/>
    </row>
    <row r="14" spans="1:12" s="12" customFormat="1" ht="24.95" customHeight="1">
      <c r="A14" s="13">
        <f t="shared" si="0"/>
        <v>6</v>
      </c>
      <c r="B14" s="52" t="s">
        <v>216</v>
      </c>
      <c r="C14" s="52" t="s">
        <v>138</v>
      </c>
      <c r="D14" s="53" t="s">
        <v>58</v>
      </c>
      <c r="E14" s="53">
        <v>60</v>
      </c>
      <c r="F14" s="53"/>
      <c r="G14" s="10" t="s">
        <v>19</v>
      </c>
      <c r="H14" s="10"/>
      <c r="I14" s="53"/>
      <c r="J14" s="86" t="s">
        <v>217</v>
      </c>
      <c r="L14" s="11"/>
    </row>
    <row r="15" spans="1:12" s="12" customFormat="1" ht="24.95" customHeight="1">
      <c r="A15" s="13">
        <f t="shared" si="0"/>
        <v>7</v>
      </c>
      <c r="B15" s="52" t="s">
        <v>218</v>
      </c>
      <c r="C15" s="52" t="s">
        <v>139</v>
      </c>
      <c r="D15" s="53" t="s">
        <v>41</v>
      </c>
      <c r="E15" s="53">
        <v>10</v>
      </c>
      <c r="F15" s="53">
        <v>2</v>
      </c>
      <c r="G15" s="10" t="s">
        <v>19</v>
      </c>
      <c r="H15" s="10"/>
      <c r="I15" s="53"/>
      <c r="J15" s="53"/>
      <c r="L15" s="11"/>
    </row>
    <row r="16" spans="1:12" s="12" customFormat="1" ht="24.95" customHeight="1">
      <c r="A16" s="13">
        <f t="shared" si="0"/>
        <v>8</v>
      </c>
      <c r="B16" s="52" t="s">
        <v>184</v>
      </c>
      <c r="C16" s="52" t="s">
        <v>140</v>
      </c>
      <c r="D16" s="53" t="s">
        <v>52</v>
      </c>
      <c r="E16" s="53" t="s">
        <v>63</v>
      </c>
      <c r="F16" s="53"/>
      <c r="G16" s="10" t="s">
        <v>19</v>
      </c>
      <c r="H16" s="10"/>
      <c r="I16" s="53"/>
      <c r="J16" s="53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0"/>
        <v/>
      </c>
      <c r="B18" s="52"/>
      <c r="C18" s="52"/>
      <c r="D18" s="53"/>
      <c r="E18" s="53"/>
      <c r="F18" s="53"/>
      <c r="G18" s="10"/>
      <c r="H18" s="10"/>
      <c r="I18" s="53"/>
      <c r="J18" s="53"/>
      <c r="L18" s="11"/>
    </row>
    <row r="19" spans="1:12" s="12" customFormat="1" ht="24.95" customHeight="1">
      <c r="A19" s="13" t="str">
        <f t="shared" si="0"/>
        <v/>
      </c>
      <c r="B19" s="52"/>
      <c r="C19" s="52"/>
      <c r="D19" s="53"/>
      <c r="E19" s="53"/>
      <c r="F19" s="53"/>
      <c r="G19" s="10"/>
      <c r="H19" s="10"/>
      <c r="I19" s="53"/>
      <c r="J19" s="53"/>
      <c r="L19" s="11"/>
    </row>
    <row r="20" spans="1:12" s="12" customFormat="1" ht="24.95" customHeight="1">
      <c r="A20" s="13" t="str">
        <f t="shared" si="0"/>
        <v/>
      </c>
      <c r="B20" s="52"/>
      <c r="C20" s="52"/>
      <c r="D20" s="53"/>
      <c r="E20" s="57"/>
      <c r="F20" s="57"/>
      <c r="G20" s="10"/>
      <c r="H20" s="58"/>
      <c r="I20" s="57"/>
      <c r="J20" s="59"/>
    </row>
    <row r="21" spans="1:12" s="12" customFormat="1" ht="24.95" customHeight="1">
      <c r="A21" s="13" t="str">
        <f t="shared" si="0"/>
        <v/>
      </c>
      <c r="B21" s="52"/>
      <c r="C21" s="52"/>
      <c r="D21" s="53"/>
      <c r="E21" s="53"/>
      <c r="F21" s="53"/>
      <c r="G21" s="10"/>
      <c r="H21" s="10"/>
      <c r="I21" s="53"/>
      <c r="J21" s="53"/>
      <c r="L21" s="11"/>
    </row>
    <row r="22" spans="1:12" s="12" customFormat="1" ht="24.95" customHeight="1">
      <c r="A22" s="13" t="str">
        <f t="shared" si="0"/>
        <v/>
      </c>
      <c r="B22" s="53"/>
      <c r="C22" s="9"/>
      <c r="D22" s="53"/>
      <c r="E22" s="53"/>
      <c r="F22" s="53"/>
      <c r="G22" s="10"/>
      <c r="H22" s="10"/>
      <c r="I22" s="10"/>
      <c r="J22" s="53"/>
      <c r="L22" s="11"/>
    </row>
    <row r="23" spans="1:12" s="12" customFormat="1" ht="24.95" customHeight="1">
      <c r="A23" s="13" t="str">
        <f t="shared" si="0"/>
        <v/>
      </c>
      <c r="B23" s="91"/>
      <c r="C23" s="9"/>
      <c r="D23" s="91"/>
      <c r="E23" s="91"/>
      <c r="F23" s="91"/>
      <c r="G23" s="10"/>
      <c r="H23" s="10"/>
      <c r="I23" s="91"/>
      <c r="J23" s="80"/>
      <c r="K23" s="11"/>
      <c r="L23" s="11"/>
    </row>
    <row r="24" spans="1:12" s="12" customFormat="1" ht="12">
      <c r="G24" s="90"/>
      <c r="H24" s="90"/>
    </row>
  </sheetData>
  <phoneticPr fontId="4"/>
  <hyperlinks>
    <hyperlink ref="J1" location="目次!A1" display="テーブル一覧へ" xr:uid="{33BBC88B-0F2B-46B7-9C44-9C57FB0359BA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783F-F0D4-40ED-85B1-0C11F1D1BA85}">
  <sheetPr codeName="Sheet26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H18" sqref="H18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TOOL!C13</f>
        <v>注文商品一覧情報</v>
      </c>
      <c r="C5" s="79" t="str">
        <f>TOOL!D13</f>
        <v>order_goods_info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 t="shared" ref="A9:A24" si="0">IF(B9="","",ROW()-8)</f>
        <v>1</v>
      </c>
      <c r="B9" s="52" t="s">
        <v>211</v>
      </c>
      <c r="C9" s="52" t="s">
        <v>133</v>
      </c>
      <c r="D9" s="53" t="s">
        <v>58</v>
      </c>
      <c r="E9" s="53">
        <v>60</v>
      </c>
      <c r="F9" s="53"/>
      <c r="G9" s="10" t="s">
        <v>19</v>
      </c>
      <c r="H9" s="10" t="s">
        <v>20</v>
      </c>
      <c r="I9" s="53"/>
      <c r="J9" s="53"/>
      <c r="L9" s="11"/>
    </row>
    <row r="10" spans="1:12" s="12" customFormat="1" ht="24.95" customHeight="1">
      <c r="A10" s="13">
        <f t="shared" si="0"/>
        <v>2</v>
      </c>
      <c r="B10" s="85" t="s">
        <v>188</v>
      </c>
      <c r="C10" s="52" t="s">
        <v>113</v>
      </c>
      <c r="D10" s="53" t="s">
        <v>59</v>
      </c>
      <c r="E10" s="53">
        <v>10</v>
      </c>
      <c r="F10" s="85"/>
      <c r="G10" s="10" t="s">
        <v>19</v>
      </c>
      <c r="H10" s="85"/>
      <c r="I10" s="53"/>
      <c r="J10" s="53"/>
      <c r="L10" s="11"/>
    </row>
    <row r="11" spans="1:12" s="12" customFormat="1" ht="24.95" customHeight="1">
      <c r="A11" s="13">
        <f t="shared" si="0"/>
        <v>3</v>
      </c>
      <c r="B11" s="52" t="s">
        <v>194</v>
      </c>
      <c r="C11" s="52" t="s">
        <v>114</v>
      </c>
      <c r="D11" s="53" t="s">
        <v>58</v>
      </c>
      <c r="E11" s="53">
        <v>60</v>
      </c>
      <c r="F11" s="53"/>
      <c r="G11" s="10" t="s">
        <v>19</v>
      </c>
      <c r="H11" s="10" t="s">
        <v>20</v>
      </c>
      <c r="I11" s="53"/>
      <c r="J11" s="53"/>
      <c r="L11" s="11"/>
    </row>
    <row r="12" spans="1:12" s="12" customFormat="1" ht="24.95" customHeight="1">
      <c r="A12" s="13">
        <f>IF(B12="","",ROW()-8)</f>
        <v>4</v>
      </c>
      <c r="B12" s="52" t="s">
        <v>168</v>
      </c>
      <c r="C12" s="52" t="s">
        <v>116</v>
      </c>
      <c r="D12" s="53" t="s">
        <v>58</v>
      </c>
      <c r="E12" s="53">
        <v>60</v>
      </c>
      <c r="F12" s="53"/>
      <c r="G12" s="10" t="s">
        <v>19</v>
      </c>
      <c r="H12" s="10"/>
      <c r="I12" s="53"/>
      <c r="J12" s="53"/>
      <c r="L12" s="11"/>
    </row>
    <row r="13" spans="1:12" s="12" customFormat="1" ht="24.95" customHeight="1">
      <c r="A13" s="13" t="str">
        <f t="shared" ref="A13" si="1">IF(B13="","",ROW()-8)</f>
        <v/>
      </c>
      <c r="B13" s="52"/>
      <c r="C13" s="52"/>
      <c r="D13" s="53"/>
      <c r="E13" s="53"/>
      <c r="F13" s="53"/>
      <c r="G13" s="10"/>
      <c r="H13" s="10"/>
      <c r="I13" s="53"/>
      <c r="J13" s="53"/>
      <c r="L13" s="11"/>
    </row>
    <row r="14" spans="1:12" s="12" customFormat="1" ht="24.95" customHeight="1">
      <c r="A14" s="13" t="str">
        <f t="shared" si="0"/>
        <v/>
      </c>
      <c r="B14" s="52"/>
      <c r="C14" s="52"/>
      <c r="D14" s="53"/>
      <c r="E14" s="53"/>
      <c r="F14" s="53"/>
      <c r="G14" s="10"/>
      <c r="H14" s="10"/>
      <c r="I14" s="53"/>
      <c r="J14" s="86"/>
      <c r="L14" s="11"/>
    </row>
    <row r="15" spans="1:12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L15" s="11"/>
    </row>
    <row r="16" spans="1:12" s="12" customFormat="1" ht="24.95" customHeight="1">
      <c r="A16" s="13" t="str">
        <f t="shared" si="0"/>
        <v/>
      </c>
      <c r="B16" s="52"/>
      <c r="C16" s="52"/>
      <c r="D16" s="53"/>
      <c r="E16" s="53"/>
      <c r="F16" s="53"/>
      <c r="G16" s="10"/>
      <c r="H16" s="10"/>
      <c r="I16" s="53"/>
      <c r="J16" s="53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0"/>
        <v/>
      </c>
      <c r="B18" s="52"/>
      <c r="C18" s="52"/>
      <c r="D18" s="53"/>
      <c r="E18" s="53"/>
      <c r="F18" s="53"/>
      <c r="G18" s="10"/>
      <c r="H18" s="10"/>
      <c r="I18" s="53"/>
      <c r="J18" s="53"/>
      <c r="L18" s="11"/>
    </row>
    <row r="19" spans="1:12" s="12" customFormat="1" ht="24.95" customHeight="1">
      <c r="A19" s="13" t="str">
        <f t="shared" si="0"/>
        <v/>
      </c>
      <c r="B19" s="52"/>
      <c r="C19" s="52"/>
      <c r="D19" s="53"/>
      <c r="E19" s="53"/>
      <c r="F19" s="53"/>
      <c r="G19" s="10"/>
      <c r="H19" s="10"/>
      <c r="I19" s="53"/>
      <c r="J19" s="53"/>
      <c r="L19" s="11"/>
    </row>
    <row r="20" spans="1:12" s="12" customFormat="1" ht="24.95" customHeight="1">
      <c r="A20" s="13" t="str">
        <f t="shared" si="0"/>
        <v/>
      </c>
      <c r="B20" s="52"/>
      <c r="C20" s="52"/>
      <c r="D20" s="53"/>
      <c r="E20" s="57"/>
      <c r="F20" s="57"/>
      <c r="G20" s="10"/>
      <c r="H20" s="58"/>
      <c r="I20" s="57"/>
      <c r="J20" s="59"/>
    </row>
    <row r="21" spans="1:12" s="12" customFormat="1" ht="24.95" customHeight="1">
      <c r="A21" s="13" t="str">
        <f t="shared" si="0"/>
        <v/>
      </c>
      <c r="B21" s="53"/>
      <c r="C21" s="9"/>
      <c r="D21" s="53"/>
      <c r="E21" s="53"/>
      <c r="F21" s="53"/>
      <c r="G21" s="10"/>
      <c r="H21" s="10"/>
      <c r="I21" s="53"/>
      <c r="J21" s="53"/>
      <c r="K21" s="61"/>
      <c r="L21" s="11"/>
    </row>
    <row r="22" spans="1:12" s="12" customFormat="1" ht="24.95" customHeight="1">
      <c r="A22" s="13" t="str">
        <f t="shared" si="0"/>
        <v/>
      </c>
      <c r="B22" s="53"/>
      <c r="C22" s="9"/>
      <c r="D22" s="53"/>
      <c r="E22" s="53"/>
      <c r="F22" s="53"/>
      <c r="G22" s="10"/>
      <c r="H22" s="10"/>
      <c r="I22" s="53"/>
      <c r="J22" s="53"/>
      <c r="K22" s="61"/>
      <c r="L22" s="11"/>
    </row>
    <row r="23" spans="1:12" s="12" customFormat="1" ht="24.95" customHeight="1">
      <c r="A23" s="13" t="str">
        <f t="shared" si="0"/>
        <v/>
      </c>
      <c r="B23" s="91"/>
      <c r="C23" s="9"/>
      <c r="D23" s="91"/>
      <c r="E23" s="91"/>
      <c r="F23" s="91"/>
      <c r="G23" s="10"/>
      <c r="H23" s="10"/>
      <c r="I23" s="91"/>
      <c r="J23" s="80"/>
      <c r="K23" s="11"/>
      <c r="L23" s="11"/>
    </row>
    <row r="24" spans="1:12" s="12" customFormat="1" ht="24.95" customHeight="1">
      <c r="A24" s="13" t="str">
        <f t="shared" si="0"/>
        <v/>
      </c>
      <c r="B24" s="91"/>
      <c r="C24" s="9"/>
      <c r="D24" s="91"/>
      <c r="E24" s="91"/>
      <c r="F24" s="91"/>
      <c r="G24" s="10"/>
      <c r="H24" s="10"/>
      <c r="I24" s="91"/>
      <c r="J24" s="80"/>
      <c r="K24" s="11"/>
      <c r="L24" s="11"/>
    </row>
  </sheetData>
  <phoneticPr fontId="4"/>
  <hyperlinks>
    <hyperlink ref="J1" location="目次!A1" display="テーブル一覧へ" xr:uid="{0B0C2208-2F54-4CF7-BCE3-1663D48B0723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D576E-91FB-43A1-8AB4-EABAC1CA13CB}">
  <sheetPr codeName="Sheet23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H18" sqref="H18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TOOL!C14</f>
        <v>売家情報</v>
      </c>
      <c r="C5" s="79" t="str">
        <f>TOOL!D14</f>
        <v>seller_info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 t="shared" ref="A9:A23" si="0">IF(B9="","",ROW()-8)</f>
        <v>1</v>
      </c>
      <c r="B9" s="52" t="s">
        <v>194</v>
      </c>
      <c r="C9" s="52" t="s">
        <v>114</v>
      </c>
      <c r="D9" s="53" t="s">
        <v>58</v>
      </c>
      <c r="E9" s="53">
        <v>60</v>
      </c>
      <c r="F9" s="53"/>
      <c r="G9" s="10" t="s">
        <v>66</v>
      </c>
      <c r="H9" s="10" t="s">
        <v>20</v>
      </c>
      <c r="I9" s="53"/>
      <c r="J9" s="53"/>
      <c r="L9" s="11"/>
    </row>
    <row r="10" spans="1:12" s="12" customFormat="1" ht="24.95" customHeight="1">
      <c r="A10" s="13">
        <f t="shared" si="0"/>
        <v>2</v>
      </c>
      <c r="B10" s="52" t="s">
        <v>195</v>
      </c>
      <c r="C10" s="52" t="s">
        <v>127</v>
      </c>
      <c r="D10" s="53" t="s">
        <v>58</v>
      </c>
      <c r="E10" s="53">
        <v>60</v>
      </c>
      <c r="F10" s="53"/>
      <c r="G10" s="10" t="s">
        <v>60</v>
      </c>
      <c r="H10" s="10"/>
      <c r="I10" s="53"/>
      <c r="J10" s="53"/>
      <c r="L10" s="11"/>
    </row>
    <row r="11" spans="1:12" s="12" customFormat="1" ht="24.95" customHeight="1">
      <c r="A11" s="13">
        <f t="shared" si="0"/>
        <v>3</v>
      </c>
      <c r="B11" s="52" t="s">
        <v>227</v>
      </c>
      <c r="C11" s="52" t="s">
        <v>107</v>
      </c>
      <c r="D11" s="53" t="s">
        <v>59</v>
      </c>
      <c r="E11" s="53">
        <v>11</v>
      </c>
      <c r="F11" s="53"/>
      <c r="G11" s="10" t="s">
        <v>60</v>
      </c>
      <c r="H11" s="10"/>
      <c r="I11" s="53"/>
      <c r="J11" s="53"/>
      <c r="L11" s="11"/>
    </row>
    <row r="12" spans="1:12" s="12" customFormat="1" ht="24.95" customHeight="1">
      <c r="A12" s="13">
        <f>IF(B12="","",ROW()-8)</f>
        <v>4</v>
      </c>
      <c r="B12" s="52" t="s">
        <v>204</v>
      </c>
      <c r="C12" s="52" t="s">
        <v>128</v>
      </c>
      <c r="D12" s="53" t="s">
        <v>58</v>
      </c>
      <c r="E12" s="53">
        <v>20</v>
      </c>
      <c r="F12" s="53"/>
      <c r="G12" s="10" t="s">
        <v>19</v>
      </c>
      <c r="H12" s="10"/>
      <c r="I12" s="53"/>
      <c r="J12" s="53"/>
      <c r="L12" s="11"/>
    </row>
    <row r="13" spans="1:12" s="12" customFormat="1" ht="24.95" customHeight="1">
      <c r="A13" s="13">
        <f t="shared" ref="A13" si="1">IF(B13="","",ROW()-8)</f>
        <v>5</v>
      </c>
      <c r="B13" s="52" t="s">
        <v>205</v>
      </c>
      <c r="C13" s="52" t="s">
        <v>129</v>
      </c>
      <c r="D13" s="53" t="s">
        <v>58</v>
      </c>
      <c r="E13" s="53">
        <v>100</v>
      </c>
      <c r="F13" s="53"/>
      <c r="G13" s="10" t="s">
        <v>66</v>
      </c>
      <c r="H13" s="10"/>
      <c r="I13" s="53"/>
      <c r="J13" s="53"/>
      <c r="L13" s="11"/>
    </row>
    <row r="14" spans="1:12" s="12" customFormat="1" ht="24.95" customHeight="1">
      <c r="A14" s="13" t="str">
        <f t="shared" si="0"/>
        <v/>
      </c>
      <c r="B14" s="52"/>
      <c r="C14" s="52"/>
      <c r="D14" s="53"/>
      <c r="E14" s="53"/>
      <c r="F14" s="53"/>
      <c r="G14" s="10"/>
      <c r="H14" s="10"/>
      <c r="I14" s="53"/>
      <c r="J14" s="53"/>
      <c r="L14" s="11"/>
    </row>
    <row r="15" spans="1:12" s="12" customFormat="1" ht="24.95" customHeight="1">
      <c r="A15" s="13" t="str">
        <f t="shared" si="0"/>
        <v/>
      </c>
      <c r="B15" s="52"/>
      <c r="C15" s="52"/>
      <c r="D15" s="53"/>
      <c r="E15" s="53"/>
      <c r="F15" s="53"/>
      <c r="G15" s="10"/>
      <c r="H15" s="10"/>
      <c r="I15" s="53"/>
      <c r="J15" s="53"/>
      <c r="L15" s="11"/>
    </row>
    <row r="16" spans="1:12" s="12" customFormat="1" ht="24.95" customHeight="1">
      <c r="A16" s="13" t="str">
        <f t="shared" si="0"/>
        <v/>
      </c>
      <c r="B16" s="52"/>
      <c r="C16" s="52"/>
      <c r="D16" s="53"/>
      <c r="E16" s="53"/>
      <c r="F16" s="53"/>
      <c r="G16" s="10"/>
      <c r="H16" s="10"/>
      <c r="I16" s="53"/>
      <c r="J16" s="53"/>
      <c r="L16" s="11"/>
    </row>
    <row r="17" spans="1:12" s="12" customFormat="1" ht="24.95" customHeight="1">
      <c r="A17" s="13" t="str">
        <f t="shared" si="0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0"/>
        <v/>
      </c>
      <c r="B18" s="52"/>
      <c r="C18" s="52"/>
      <c r="D18" s="53"/>
      <c r="E18" s="53"/>
      <c r="F18" s="53"/>
      <c r="G18" s="10"/>
      <c r="H18" s="10"/>
      <c r="I18" s="53"/>
      <c r="J18" s="53"/>
      <c r="L18" s="11"/>
    </row>
    <row r="19" spans="1:12" s="12" customFormat="1" ht="24.95" customHeight="1">
      <c r="A19" s="13" t="str">
        <f t="shared" si="0"/>
        <v/>
      </c>
      <c r="B19" s="53"/>
      <c r="C19" s="9"/>
      <c r="D19" s="53"/>
      <c r="E19" s="53"/>
      <c r="F19" s="53"/>
      <c r="G19" s="10"/>
      <c r="H19" s="10"/>
      <c r="I19" s="10"/>
      <c r="J19" s="53"/>
      <c r="L19" s="11"/>
    </row>
    <row r="20" spans="1:12" s="12" customFormat="1" ht="24.95" customHeight="1">
      <c r="A20" s="13" t="str">
        <f t="shared" si="0"/>
        <v/>
      </c>
      <c r="B20" s="53"/>
      <c r="C20" s="9"/>
      <c r="D20" s="53"/>
      <c r="E20" s="53"/>
      <c r="F20" s="53"/>
      <c r="G20" s="10"/>
      <c r="H20" s="10"/>
      <c r="I20" s="53"/>
      <c r="J20" s="53"/>
      <c r="K20" s="61"/>
      <c r="L20" s="11"/>
    </row>
    <row r="21" spans="1:12" s="12" customFormat="1" ht="24.95" customHeight="1">
      <c r="A21" s="13" t="str">
        <f t="shared" si="0"/>
        <v/>
      </c>
      <c r="B21" s="53"/>
      <c r="C21" s="9"/>
      <c r="D21" s="53"/>
      <c r="E21" s="53"/>
      <c r="F21" s="53"/>
      <c r="G21" s="10"/>
      <c r="H21" s="10"/>
      <c r="I21" s="53"/>
      <c r="J21" s="53"/>
      <c r="K21" s="61"/>
      <c r="L21" s="11"/>
    </row>
    <row r="22" spans="1:12" s="12" customFormat="1" ht="24.95" customHeight="1">
      <c r="A22" s="13" t="str">
        <f t="shared" si="0"/>
        <v/>
      </c>
      <c r="B22" s="91"/>
      <c r="C22" s="9"/>
      <c r="D22" s="91"/>
      <c r="E22" s="91"/>
      <c r="F22" s="91"/>
      <c r="G22" s="10"/>
      <c r="H22" s="10"/>
      <c r="I22" s="91"/>
      <c r="J22" s="80"/>
      <c r="K22" s="11"/>
      <c r="L22" s="11"/>
    </row>
    <row r="23" spans="1:12" s="12" customFormat="1" ht="24.95" customHeight="1">
      <c r="A23" s="13" t="str">
        <f t="shared" si="0"/>
        <v/>
      </c>
      <c r="B23" s="91"/>
      <c r="C23" s="9"/>
      <c r="D23" s="91"/>
      <c r="E23" s="91"/>
      <c r="F23" s="91"/>
      <c r="G23" s="10"/>
      <c r="H23" s="10"/>
      <c r="I23" s="91"/>
      <c r="J23" s="80"/>
      <c r="K23" s="11"/>
      <c r="L23" s="11"/>
    </row>
    <row r="24" spans="1:12" s="12" customFormat="1" ht="12">
      <c r="G24" s="90"/>
      <c r="H24" s="90"/>
    </row>
  </sheetData>
  <phoneticPr fontId="4"/>
  <hyperlinks>
    <hyperlink ref="J1" location="目次!A1" display="テーブル一覧へ" xr:uid="{76ABE8B3-0084-4ABC-A5C1-F236429C39FF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5218A-787F-4D6C-89CF-BE5E7E5D0BE0}">
  <sheetPr codeName="Sheet24"/>
  <dimension ref="A1:L24"/>
  <sheetViews>
    <sheetView view="pageBreakPreview" zoomScaleNormal="100" zoomScaleSheetLayoutView="100" workbookViewId="0">
      <pane ySplit="7" topLeftCell="A8" activePane="bottomLeft" state="frozen"/>
      <selection activeCell="H18" sqref="H18"/>
      <selection pane="bottomLeft" activeCell="H18" sqref="H18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18" t="s">
        <v>1</v>
      </c>
    </row>
    <row r="2" spans="1:12">
      <c r="B2" s="19" t="s">
        <v>2</v>
      </c>
      <c r="C2" s="20"/>
      <c r="D2" s="19" t="s">
        <v>3</v>
      </c>
      <c r="E2" s="20"/>
      <c r="F2" s="21"/>
      <c r="G2" s="22"/>
      <c r="H2" s="23" t="s">
        <v>4</v>
      </c>
      <c r="I2" s="23" t="s">
        <v>5</v>
      </c>
      <c r="J2" s="23" t="s">
        <v>6</v>
      </c>
    </row>
    <row r="3" spans="1:12" ht="18" customHeight="1">
      <c r="B3" s="24"/>
      <c r="C3" s="25"/>
      <c r="D3" s="26"/>
      <c r="E3" s="27"/>
      <c r="F3" s="28"/>
      <c r="G3" s="29"/>
      <c r="H3" s="30"/>
      <c r="I3" s="30"/>
      <c r="J3" s="30"/>
    </row>
    <row r="4" spans="1:12">
      <c r="B4" s="3" t="s">
        <v>169</v>
      </c>
      <c r="C4" s="3" t="s">
        <v>170</v>
      </c>
      <c r="D4" s="31" t="s">
        <v>7</v>
      </c>
      <c r="E4" s="32"/>
      <c r="F4" s="32"/>
      <c r="G4" s="22"/>
      <c r="H4" s="33"/>
      <c r="I4" s="30"/>
      <c r="J4" s="30"/>
    </row>
    <row r="5" spans="1:12" ht="18" customHeight="1">
      <c r="B5" s="34" t="str">
        <f>TOOL!C15</f>
        <v>区分コード情報</v>
      </c>
      <c r="C5" s="79" t="str">
        <f>TOOL!D15</f>
        <v>code_info</v>
      </c>
      <c r="D5" s="35"/>
      <c r="E5" s="36"/>
      <c r="F5" s="37"/>
      <c r="G5" s="29"/>
      <c r="H5" s="38"/>
      <c r="I5" s="38"/>
      <c r="J5" s="38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"/>
    </row>
    <row r="8" spans="1:12" ht="15" hidden="1" customHeight="1">
      <c r="A8" s="46">
        <v>1</v>
      </c>
      <c r="B8" s="47" t="s">
        <v>16</v>
      </c>
      <c r="C8" s="48" t="s">
        <v>17</v>
      </c>
      <c r="D8" s="47" t="s">
        <v>18</v>
      </c>
      <c r="E8" s="47">
        <v>11</v>
      </c>
      <c r="F8" s="47"/>
      <c r="G8" s="49" t="s">
        <v>19</v>
      </c>
      <c r="H8" s="49" t="s">
        <v>20</v>
      </c>
      <c r="I8" s="47"/>
      <c r="J8" s="50"/>
      <c r="L8" s="39"/>
    </row>
    <row r="9" spans="1:12" s="12" customFormat="1" ht="24.95" customHeight="1">
      <c r="A9" s="13">
        <f>IF(B9="","",ROW()-8)</f>
        <v>1</v>
      </c>
      <c r="B9" s="53" t="s">
        <v>225</v>
      </c>
      <c r="C9" s="9" t="s">
        <v>90</v>
      </c>
      <c r="D9" s="53" t="s">
        <v>59</v>
      </c>
      <c r="E9" s="53">
        <v>3</v>
      </c>
      <c r="F9" s="53"/>
      <c r="G9" s="10" t="s">
        <v>19</v>
      </c>
      <c r="H9" s="10" t="s">
        <v>85</v>
      </c>
      <c r="I9" s="10"/>
      <c r="J9" s="53"/>
      <c r="L9" s="11"/>
    </row>
    <row r="10" spans="1:12" s="12" customFormat="1" ht="24.95" customHeight="1">
      <c r="A10" s="13">
        <f>IF(B10="","",ROW()-8)</f>
        <v>2</v>
      </c>
      <c r="B10" s="53" t="s">
        <v>171</v>
      </c>
      <c r="C10" s="9" t="s">
        <v>91</v>
      </c>
      <c r="D10" s="53" t="s">
        <v>58</v>
      </c>
      <c r="E10" s="53">
        <v>20</v>
      </c>
      <c r="F10" s="53"/>
      <c r="G10" s="10" t="s">
        <v>19</v>
      </c>
      <c r="H10" s="10"/>
      <c r="I10" s="10"/>
      <c r="J10" s="53"/>
      <c r="L10" s="11"/>
    </row>
    <row r="11" spans="1:12" s="12" customFormat="1" ht="24.95" customHeight="1">
      <c r="A11" s="13">
        <f t="shared" ref="A11:A12" si="0">IF(B11="","",ROW()-8)</f>
        <v>3</v>
      </c>
      <c r="B11" s="53" t="s">
        <v>88</v>
      </c>
      <c r="C11" s="9" t="s">
        <v>92</v>
      </c>
      <c r="D11" s="53" t="s">
        <v>59</v>
      </c>
      <c r="E11" s="53">
        <v>2</v>
      </c>
      <c r="F11" s="53"/>
      <c r="G11" s="10" t="s">
        <v>19</v>
      </c>
      <c r="H11" s="10" t="s">
        <v>85</v>
      </c>
      <c r="I11" s="10"/>
      <c r="J11" s="53"/>
      <c r="L11" s="11"/>
    </row>
    <row r="12" spans="1:12" s="12" customFormat="1" ht="24.95" customHeight="1">
      <c r="A12" s="13">
        <f t="shared" si="0"/>
        <v>4</v>
      </c>
      <c r="B12" s="53" t="s">
        <v>226</v>
      </c>
      <c r="C12" s="9" t="s">
        <v>93</v>
      </c>
      <c r="D12" s="53" t="s">
        <v>58</v>
      </c>
      <c r="E12" s="53">
        <v>20</v>
      </c>
      <c r="F12" s="53"/>
      <c r="G12" s="10" t="s">
        <v>19</v>
      </c>
      <c r="H12" s="10"/>
      <c r="I12" s="10"/>
      <c r="J12" s="53"/>
      <c r="L12" s="11"/>
    </row>
    <row r="13" spans="1:12" s="12" customFormat="1" ht="24.95" customHeight="1">
      <c r="A13" s="13">
        <f t="shared" ref="A13:A14" si="1">IF(B13="","",ROW()-8)</f>
        <v>5</v>
      </c>
      <c r="B13" s="52" t="s">
        <v>221</v>
      </c>
      <c r="C13" s="52" t="s">
        <v>94</v>
      </c>
      <c r="D13" s="53" t="s">
        <v>59</v>
      </c>
      <c r="E13" s="53">
        <v>1</v>
      </c>
      <c r="F13" s="53"/>
      <c r="G13" s="10" t="s">
        <v>19</v>
      </c>
      <c r="H13" s="10"/>
      <c r="I13" s="53"/>
      <c r="J13" s="53" t="s">
        <v>222</v>
      </c>
      <c r="L13" s="11"/>
    </row>
    <row r="14" spans="1:12" s="12" customFormat="1" ht="24.95" customHeight="1">
      <c r="A14" s="13" t="str">
        <f t="shared" si="1"/>
        <v/>
      </c>
      <c r="B14" s="52"/>
      <c r="C14" s="52"/>
      <c r="D14" s="53"/>
      <c r="E14" s="53"/>
      <c r="F14" s="53"/>
      <c r="G14" s="10"/>
      <c r="H14" s="10"/>
      <c r="I14" s="53"/>
      <c r="J14" s="53"/>
      <c r="L14" s="11"/>
    </row>
    <row r="15" spans="1:12" s="12" customFormat="1" ht="24.95" customHeight="1">
      <c r="A15" s="13" t="str">
        <f>IF(B15="","",ROW()-8)</f>
        <v/>
      </c>
      <c r="B15" s="52"/>
      <c r="C15" s="52"/>
      <c r="D15" s="53"/>
      <c r="E15" s="53"/>
      <c r="F15" s="53"/>
      <c r="G15" s="10"/>
      <c r="H15" s="10"/>
      <c r="I15" s="53"/>
      <c r="J15" s="53"/>
      <c r="L15" s="11"/>
    </row>
    <row r="16" spans="1:12" s="12" customFormat="1" ht="24.95" customHeight="1">
      <c r="A16" s="13" t="str">
        <f t="shared" ref="A16:A23" si="2">IF(B16="","",ROW()-8)</f>
        <v/>
      </c>
      <c r="B16" s="52"/>
      <c r="C16" s="52"/>
      <c r="D16" s="53"/>
      <c r="E16" s="53"/>
      <c r="F16" s="53"/>
      <c r="G16" s="10"/>
      <c r="H16" s="10"/>
      <c r="I16" s="53"/>
      <c r="J16" s="53"/>
      <c r="L16" s="11"/>
    </row>
    <row r="17" spans="1:12" s="12" customFormat="1" ht="24.95" customHeight="1">
      <c r="A17" s="13" t="str">
        <f t="shared" si="2"/>
        <v/>
      </c>
      <c r="B17" s="52"/>
      <c r="C17" s="52"/>
      <c r="D17" s="53"/>
      <c r="E17" s="53"/>
      <c r="F17" s="53"/>
      <c r="G17" s="10"/>
      <c r="H17" s="10"/>
      <c r="I17" s="53"/>
      <c r="J17" s="53"/>
      <c r="L17" s="11"/>
    </row>
    <row r="18" spans="1:12" s="12" customFormat="1" ht="24.95" customHeight="1">
      <c r="A18" s="13" t="str">
        <f t="shared" si="2"/>
        <v/>
      </c>
      <c r="B18" s="52"/>
      <c r="C18" s="52"/>
      <c r="D18" s="53"/>
      <c r="E18" s="53"/>
      <c r="F18" s="53"/>
      <c r="G18" s="10"/>
      <c r="H18" s="10"/>
      <c r="I18" s="53"/>
      <c r="J18" s="53"/>
      <c r="L18" s="11"/>
    </row>
    <row r="19" spans="1:12" s="12" customFormat="1" ht="24.95" customHeight="1">
      <c r="A19" s="13" t="str">
        <f t="shared" si="2"/>
        <v/>
      </c>
      <c r="B19" s="52"/>
      <c r="C19" s="52"/>
      <c r="D19" s="53"/>
      <c r="E19" s="57"/>
      <c r="F19" s="57"/>
      <c r="G19" s="10"/>
      <c r="H19" s="58"/>
      <c r="I19" s="57"/>
      <c r="J19" s="59"/>
    </row>
    <row r="20" spans="1:12" s="12" customFormat="1" ht="24.95" customHeight="1">
      <c r="A20" s="13" t="str">
        <f t="shared" si="2"/>
        <v/>
      </c>
      <c r="B20" s="52"/>
      <c r="C20" s="52"/>
      <c r="D20" s="53"/>
      <c r="E20" s="53"/>
      <c r="F20" s="53"/>
      <c r="G20" s="10"/>
      <c r="H20" s="10"/>
      <c r="I20" s="53"/>
      <c r="J20" s="53"/>
      <c r="L20" s="11"/>
    </row>
    <row r="21" spans="1:12" s="12" customFormat="1" ht="24.95" customHeight="1">
      <c r="A21" s="13" t="str">
        <f t="shared" si="2"/>
        <v/>
      </c>
      <c r="B21" s="53"/>
      <c r="C21" s="9"/>
      <c r="D21" s="53"/>
      <c r="E21" s="53"/>
      <c r="F21" s="53"/>
      <c r="G21" s="10"/>
      <c r="H21" s="10"/>
      <c r="I21" s="10"/>
      <c r="J21" s="53"/>
      <c r="L21" s="11"/>
    </row>
    <row r="22" spans="1:12" s="12" customFormat="1" ht="24.95" customHeight="1">
      <c r="A22" s="13" t="str">
        <f t="shared" si="2"/>
        <v/>
      </c>
      <c r="B22" s="53"/>
      <c r="C22" s="9"/>
      <c r="D22" s="53"/>
      <c r="E22" s="53"/>
      <c r="F22" s="53"/>
      <c r="G22" s="10"/>
      <c r="H22" s="10"/>
      <c r="I22" s="53"/>
      <c r="J22" s="53"/>
      <c r="K22" s="61"/>
      <c r="L22" s="11"/>
    </row>
    <row r="23" spans="1:12" s="12" customFormat="1" ht="24.95" customHeight="1">
      <c r="A23" s="13" t="str">
        <f t="shared" si="2"/>
        <v/>
      </c>
      <c r="B23" s="53"/>
      <c r="C23" s="9"/>
      <c r="D23" s="53"/>
      <c r="E23" s="53"/>
      <c r="F23" s="53"/>
      <c r="G23" s="10"/>
      <c r="H23" s="10"/>
      <c r="I23" s="53"/>
      <c r="J23" s="53"/>
      <c r="K23" s="61"/>
      <c r="L23" s="11"/>
    </row>
    <row r="24" spans="1:12" s="12" customFormat="1" ht="12">
      <c r="G24" s="90"/>
      <c r="H24" s="90"/>
    </row>
  </sheetData>
  <phoneticPr fontId="4"/>
  <hyperlinks>
    <hyperlink ref="J1" location="目次!A1" display="テーブル一覧へ" xr:uid="{712D9597-BC4E-4905-9355-D9B1473BE5C8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33B2E-A7D3-4B20-B7B1-38AC562CA6D5}">
  <sheetPr codeName="Sheet2">
    <tabColor rgb="FFFF0000"/>
  </sheetPr>
  <dimension ref="B2:G32"/>
  <sheetViews>
    <sheetView workbookViewId="0">
      <pane ySplit="3" topLeftCell="A4" activePane="bottomLeft" state="frozen"/>
      <selection activeCell="H18" sqref="H18"/>
      <selection pane="bottomLeft" activeCell="H18" sqref="H18"/>
    </sheetView>
  </sheetViews>
  <sheetFormatPr defaultRowHeight="13.5"/>
  <cols>
    <col min="1" max="16384" width="9" style="81"/>
  </cols>
  <sheetData>
    <row r="2" spans="2:7" ht="16.5">
      <c r="B2" s="81" t="s">
        <v>224</v>
      </c>
    </row>
    <row r="3" spans="2:7">
      <c r="B3" s="78" t="s">
        <v>31</v>
      </c>
      <c r="C3" s="5" t="s">
        <v>209</v>
      </c>
      <c r="D3" s="5" t="s">
        <v>171</v>
      </c>
      <c r="E3" s="5" t="s">
        <v>87</v>
      </c>
      <c r="F3" s="5" t="s">
        <v>89</v>
      </c>
      <c r="G3" s="5" t="s">
        <v>221</v>
      </c>
    </row>
    <row r="4" spans="2:7">
      <c r="B4" s="82" t="str">
        <f>IF(C4="","",ROW()-3)</f>
        <v/>
      </c>
      <c r="C4" s="83"/>
      <c r="D4" s="83"/>
      <c r="E4" s="83"/>
      <c r="F4" s="83"/>
      <c r="G4" s="83"/>
    </row>
    <row r="5" spans="2:7">
      <c r="B5" s="82" t="str">
        <f t="shared" ref="B5:B32" si="0">IF(C5="","",ROW()-3)</f>
        <v/>
      </c>
      <c r="C5" s="83"/>
      <c r="D5" s="83"/>
      <c r="E5" s="83"/>
      <c r="F5" s="83"/>
      <c r="G5" s="83"/>
    </row>
    <row r="6" spans="2:7">
      <c r="B6" s="82" t="str">
        <f t="shared" si="0"/>
        <v/>
      </c>
      <c r="C6" s="83"/>
      <c r="D6" s="83"/>
      <c r="E6" s="83"/>
      <c r="F6" s="83"/>
      <c r="G6" s="83"/>
    </row>
    <row r="7" spans="2:7">
      <c r="B7" s="82" t="str">
        <f t="shared" si="0"/>
        <v/>
      </c>
      <c r="C7" s="83"/>
      <c r="D7" s="83"/>
      <c r="E7" s="83"/>
      <c r="F7" s="83"/>
      <c r="G7" s="83"/>
    </row>
    <row r="8" spans="2:7">
      <c r="B8" s="82" t="str">
        <f t="shared" si="0"/>
        <v/>
      </c>
      <c r="C8" s="83"/>
      <c r="D8" s="83"/>
      <c r="E8" s="83"/>
      <c r="F8" s="83"/>
      <c r="G8" s="83"/>
    </row>
    <row r="9" spans="2:7" s="86" customFormat="1" ht="12">
      <c r="B9" s="88" t="str">
        <f t="shared" si="0"/>
        <v/>
      </c>
      <c r="C9" s="89"/>
      <c r="D9" s="89"/>
      <c r="E9" s="89"/>
      <c r="F9" s="89"/>
      <c r="G9" s="89"/>
    </row>
    <row r="10" spans="2:7" s="86" customFormat="1" ht="12">
      <c r="B10" s="88" t="str">
        <f t="shared" si="0"/>
        <v/>
      </c>
      <c r="C10" s="89"/>
      <c r="D10" s="89"/>
      <c r="E10" s="89"/>
      <c r="F10" s="89"/>
      <c r="G10" s="89"/>
    </row>
    <row r="11" spans="2:7" s="86" customFormat="1" ht="12">
      <c r="B11" s="88" t="str">
        <f t="shared" si="0"/>
        <v/>
      </c>
      <c r="C11" s="89"/>
      <c r="D11" s="89"/>
      <c r="E11" s="89"/>
      <c r="F11" s="89"/>
      <c r="G11" s="89"/>
    </row>
    <row r="12" spans="2:7" s="86" customFormat="1" ht="12">
      <c r="B12" s="88" t="str">
        <f t="shared" si="0"/>
        <v/>
      </c>
      <c r="C12" s="89"/>
      <c r="D12" s="89"/>
      <c r="E12" s="89"/>
      <c r="F12" s="89"/>
      <c r="G12" s="89"/>
    </row>
    <row r="13" spans="2:7" s="86" customFormat="1" ht="12">
      <c r="B13" s="88" t="str">
        <f t="shared" si="0"/>
        <v/>
      </c>
      <c r="C13" s="89"/>
      <c r="D13" s="89"/>
      <c r="E13" s="89"/>
      <c r="F13" s="89"/>
      <c r="G13" s="89"/>
    </row>
    <row r="14" spans="2:7" s="86" customFormat="1" ht="12">
      <c r="B14" s="88" t="str">
        <f t="shared" si="0"/>
        <v/>
      </c>
      <c r="C14" s="89"/>
      <c r="D14" s="89"/>
      <c r="E14" s="89"/>
      <c r="F14" s="89"/>
      <c r="G14" s="89"/>
    </row>
    <row r="15" spans="2:7" s="86" customFormat="1" ht="12">
      <c r="B15" s="88" t="str">
        <f t="shared" si="0"/>
        <v/>
      </c>
      <c r="C15" s="89"/>
      <c r="D15" s="89"/>
      <c r="E15" s="89"/>
      <c r="F15" s="89"/>
      <c r="G15" s="89"/>
    </row>
    <row r="16" spans="2:7" s="86" customFormat="1" ht="12">
      <c r="B16" s="88" t="str">
        <f t="shared" si="0"/>
        <v/>
      </c>
      <c r="C16" s="89"/>
      <c r="D16" s="89"/>
      <c r="E16" s="89"/>
      <c r="F16" s="89"/>
      <c r="G16" s="89"/>
    </row>
    <row r="17" spans="2:7" s="86" customFormat="1" ht="12">
      <c r="B17" s="88" t="str">
        <f t="shared" si="0"/>
        <v/>
      </c>
      <c r="C17" s="89"/>
      <c r="D17" s="89"/>
      <c r="E17" s="89"/>
      <c r="F17" s="89"/>
      <c r="G17" s="89"/>
    </row>
    <row r="18" spans="2:7" s="86" customFormat="1" ht="12">
      <c r="B18" s="88" t="str">
        <f t="shared" si="0"/>
        <v/>
      </c>
      <c r="C18" s="89"/>
      <c r="D18" s="89"/>
      <c r="E18" s="89"/>
      <c r="F18" s="89"/>
      <c r="G18" s="89"/>
    </row>
    <row r="19" spans="2:7" s="86" customFormat="1" ht="12">
      <c r="B19" s="88" t="str">
        <f t="shared" si="0"/>
        <v/>
      </c>
      <c r="C19" s="89"/>
      <c r="D19" s="89"/>
      <c r="E19" s="89"/>
      <c r="F19" s="89"/>
      <c r="G19" s="89"/>
    </row>
    <row r="20" spans="2:7" s="86" customFormat="1" ht="12">
      <c r="B20" s="88" t="str">
        <f t="shared" si="0"/>
        <v/>
      </c>
      <c r="C20" s="89"/>
      <c r="D20" s="89"/>
      <c r="E20" s="89"/>
      <c r="F20" s="89"/>
      <c r="G20" s="89"/>
    </row>
    <row r="21" spans="2:7" s="86" customFormat="1" ht="12">
      <c r="B21" s="88" t="str">
        <f t="shared" si="0"/>
        <v/>
      </c>
      <c r="C21" s="89"/>
      <c r="D21" s="89"/>
      <c r="E21" s="89"/>
      <c r="F21" s="89"/>
      <c r="G21" s="89"/>
    </row>
    <row r="22" spans="2:7" s="86" customFormat="1" ht="12">
      <c r="B22" s="88" t="str">
        <f t="shared" si="0"/>
        <v/>
      </c>
      <c r="C22" s="89"/>
      <c r="D22" s="89"/>
      <c r="E22" s="89"/>
      <c r="F22" s="89"/>
      <c r="G22" s="89"/>
    </row>
    <row r="23" spans="2:7" s="86" customFormat="1" ht="12">
      <c r="B23" s="88" t="str">
        <f t="shared" si="0"/>
        <v/>
      </c>
      <c r="C23" s="89"/>
      <c r="D23" s="89"/>
      <c r="E23" s="89"/>
      <c r="F23" s="89"/>
      <c r="G23" s="89"/>
    </row>
    <row r="24" spans="2:7" s="86" customFormat="1" ht="12">
      <c r="B24" s="88" t="str">
        <f t="shared" si="0"/>
        <v/>
      </c>
      <c r="C24" s="89"/>
      <c r="D24" s="89"/>
      <c r="E24" s="89"/>
      <c r="F24" s="89"/>
      <c r="G24" s="89"/>
    </row>
    <row r="25" spans="2:7">
      <c r="B25" s="82" t="str">
        <f t="shared" si="0"/>
        <v/>
      </c>
      <c r="C25" s="83"/>
      <c r="D25" s="83"/>
      <c r="E25" s="83"/>
      <c r="F25" s="83"/>
      <c r="G25" s="83"/>
    </row>
    <row r="26" spans="2:7">
      <c r="B26" s="82" t="str">
        <f t="shared" si="0"/>
        <v/>
      </c>
      <c r="C26" s="83"/>
      <c r="D26" s="83"/>
      <c r="E26" s="83"/>
      <c r="F26" s="83"/>
      <c r="G26" s="83"/>
    </row>
    <row r="27" spans="2:7">
      <c r="B27" s="82" t="str">
        <f t="shared" si="0"/>
        <v/>
      </c>
      <c r="C27" s="83"/>
      <c r="D27" s="83"/>
      <c r="E27" s="83"/>
      <c r="F27" s="83"/>
      <c r="G27" s="83"/>
    </row>
    <row r="28" spans="2:7">
      <c r="B28" s="82" t="str">
        <f t="shared" si="0"/>
        <v/>
      </c>
      <c r="C28" s="83"/>
      <c r="D28" s="83"/>
      <c r="E28" s="83"/>
      <c r="F28" s="83"/>
      <c r="G28" s="83"/>
    </row>
    <row r="29" spans="2:7">
      <c r="B29" s="82" t="str">
        <f t="shared" si="0"/>
        <v/>
      </c>
      <c r="C29" s="83"/>
      <c r="D29" s="83"/>
      <c r="E29" s="83"/>
      <c r="F29" s="83"/>
      <c r="G29" s="83"/>
    </row>
    <row r="30" spans="2:7">
      <c r="B30" s="82" t="str">
        <f t="shared" si="0"/>
        <v/>
      </c>
      <c r="C30" s="83"/>
      <c r="D30" s="83"/>
      <c r="E30" s="83"/>
      <c r="F30" s="83"/>
      <c r="G30" s="83"/>
    </row>
    <row r="31" spans="2:7">
      <c r="B31" s="82" t="str">
        <f t="shared" si="0"/>
        <v/>
      </c>
      <c r="C31" s="83"/>
      <c r="D31" s="83"/>
      <c r="E31" s="83"/>
      <c r="F31" s="83"/>
      <c r="G31" s="83"/>
    </row>
    <row r="32" spans="2:7">
      <c r="B32" s="82" t="str">
        <f t="shared" si="0"/>
        <v/>
      </c>
      <c r="C32" s="84"/>
      <c r="D32" s="84"/>
      <c r="E32" s="84"/>
      <c r="F32" s="84"/>
      <c r="G32" s="84"/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13</vt:i4>
      </vt:variant>
    </vt:vector>
  </HeadingPairs>
  <TitlesOfParts>
    <vt:vector size="29" baseType="lpstr">
      <vt:lpstr>ER</vt:lpstr>
      <vt:lpstr>TOOL</vt:lpstr>
      <vt:lpstr>ユーザ情報</vt:lpstr>
      <vt:lpstr>商品大分類情報</vt:lpstr>
      <vt:lpstr>商品中分類情報</vt:lpstr>
      <vt:lpstr>商品情報</vt:lpstr>
      <vt:lpstr>住所情報</vt:lpstr>
      <vt:lpstr>优惠券情报</vt:lpstr>
      <vt:lpstr>优惠券仓库表</vt:lpstr>
      <vt:lpstr>商品収蔵情報</vt:lpstr>
      <vt:lpstr>カート情報</vt:lpstr>
      <vt:lpstr>注文情報</vt:lpstr>
      <vt:lpstr>注文商品一覧情報</vt:lpstr>
      <vt:lpstr>売家情報</vt:lpstr>
      <vt:lpstr>区分コード情報</vt:lpstr>
      <vt:lpstr>区分値一覧</vt:lpstr>
      <vt:lpstr>カート情報!Print_Area</vt:lpstr>
      <vt:lpstr>ユーザ情報!Print_Area</vt:lpstr>
      <vt:lpstr>区分コード情報!Print_Area</vt:lpstr>
      <vt:lpstr>住所情報!Print_Area</vt:lpstr>
      <vt:lpstr>商品収蔵情報!Print_Area</vt:lpstr>
      <vt:lpstr>商品情報!Print_Area</vt:lpstr>
      <vt:lpstr>商品大分類情報!Print_Area</vt:lpstr>
      <vt:lpstr>商品中分類情報!Print_Area</vt:lpstr>
      <vt:lpstr>注文商品一覧情報!Print_Area</vt:lpstr>
      <vt:lpstr>注文情報!Print_Area</vt:lpstr>
      <vt:lpstr>売家情報!Print_Area</vt:lpstr>
      <vt:lpstr>优惠券情报!Print_Area</vt:lpstr>
      <vt:lpstr>优惠券仓库表!Print_Area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 勇(Zhang Yong)</dc:creator>
  <cp:lastModifiedBy>Zhang, Yong</cp:lastModifiedBy>
  <cp:lastPrinted>2019-07-23T05:29:21Z</cp:lastPrinted>
  <dcterms:created xsi:type="dcterms:W3CDTF">2015-06-05T18:19:34Z</dcterms:created>
  <dcterms:modified xsi:type="dcterms:W3CDTF">2020-03-13T07:38:42Z</dcterms:modified>
</cp:coreProperties>
</file>